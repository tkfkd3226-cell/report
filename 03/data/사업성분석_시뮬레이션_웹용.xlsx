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SIDC08\OneDrive\Documents\GitHub\report\03\data\"/>
    </mc:Choice>
  </mc:AlternateContent>
  <xr:revisionPtr revIDLastSave="0" documentId="13_ncr:1_{F986A663-19B8-4E34-86EB-FEC36492676C}" xr6:coauthVersionLast="47" xr6:coauthVersionMax="47" xr10:uidLastSave="{00000000-0000-0000-0000-000000000000}"/>
  <bookViews>
    <workbookView xWindow="-120" yWindow="-120" windowWidth="38640" windowHeight="21120" tabRatio="783" xr2:uid="{7CE3025F-55AA-4B1D-A23E-9E5B9C4D9DB5}"/>
  </bookViews>
  <sheets>
    <sheet name="사업성분석" sheetId="22" r:id="rId1"/>
    <sheet name="2026-08" sheetId="20" r:id="rId2"/>
    <sheet name="2026-07" sheetId="18" r:id="rId3"/>
    <sheet name="2026-06" sheetId="17" r:id="rId4"/>
    <sheet name="2026-05" sheetId="12" r:id="rId5"/>
    <sheet name="2026-04" sheetId="9" r:id="rId6"/>
    <sheet name="2026-03" sheetId="8" r:id="rId7"/>
  </sheets>
  <definedNames>
    <definedName name="_xlnm.Print_Area" localSheetId="6">'2026-03'!$B$1:$F$39</definedName>
    <definedName name="_xlnm.Print_Area" localSheetId="5">'2026-04'!$B$1:$F$39</definedName>
    <definedName name="_xlnm.Print_Area" localSheetId="4">'2026-05'!$B$1:$F$39</definedName>
    <definedName name="_xlnm.Print_Area" localSheetId="3">'2026-06'!$B$1:$F$39</definedName>
    <definedName name="_xlnm.Print_Area" localSheetId="2">'2026-07'!$B$1:$F$39</definedName>
    <definedName name="_xlnm.Print_Area" localSheetId="1">'2026-08'!$B$1:$F$39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22" l="1"/>
  <c r="E36" i="9"/>
  <c r="E36" i="8"/>
  <c r="E36" i="18"/>
  <c r="E35" i="17"/>
  <c r="E36" i="17" s="1"/>
  <c r="E35" i="12"/>
  <c r="E36" i="12" s="1"/>
  <c r="E35" i="9"/>
  <c r="E35" i="8"/>
  <c r="E35" i="18"/>
  <c r="E15" i="18"/>
  <c r="E37" i="18" s="1"/>
  <c r="E14" i="8"/>
  <c r="E15" i="8" s="1"/>
  <c r="E37" i="8" s="1"/>
  <c r="E14" i="9"/>
  <c r="E15" i="9" s="1"/>
  <c r="E37" i="9" s="1"/>
  <c r="E14" i="12"/>
  <c r="E15" i="12" s="1"/>
  <c r="E37" i="12" s="1"/>
  <c r="E14" i="17"/>
  <c r="E15" i="17" s="1"/>
  <c r="E14" i="18"/>
  <c r="E36" i="20"/>
  <c r="E35" i="20"/>
  <c r="E14" i="20"/>
  <c r="E15" i="20" s="1"/>
  <c r="E37" i="20" s="1"/>
  <c r="E37" i="17" l="1"/>
  <c r="S33" i="22" l="1"/>
  <c r="R33" i="22"/>
  <c r="S32" i="22"/>
  <c r="S31" i="22"/>
  <c r="S30" i="22"/>
  <c r="S29" i="22"/>
  <c r="S28" i="22"/>
  <c r="R32" i="22"/>
  <c r="R31" i="22"/>
  <c r="R30" i="22"/>
  <c r="R29" i="22"/>
  <c r="R28" i="22"/>
  <c r="V11" i="22"/>
  <c r="V21" i="22" s="1"/>
  <c r="U11" i="22"/>
  <c r="U21" i="22" s="1"/>
  <c r="T11" i="22"/>
  <c r="T21" i="22" s="1"/>
  <c r="S11" i="22"/>
  <c r="S21" i="22" s="1"/>
  <c r="R11" i="22"/>
  <c r="R21" i="22" s="1"/>
  <c r="Q11" i="22"/>
  <c r="Q14" i="22"/>
  <c r="R14" i="22" s="1"/>
  <c r="S14" i="22" s="1"/>
  <c r="V18" i="22"/>
  <c r="U18" i="22"/>
  <c r="T18" i="22"/>
  <c r="S18" i="22"/>
  <c r="R18" i="22"/>
  <c r="Q18" i="22"/>
  <c r="V17" i="22"/>
  <c r="V19" i="22" s="1"/>
  <c r="U17" i="22"/>
  <c r="U19" i="22" s="1"/>
  <c r="T17" i="22"/>
  <c r="T19" i="22" s="1"/>
  <c r="S17" i="22"/>
  <c r="S19" i="22" s="1"/>
  <c r="R17" i="22"/>
  <c r="R19" i="22" s="1"/>
  <c r="Q17" i="22"/>
  <c r="Q19" i="22" s="1"/>
  <c r="R15" i="22"/>
  <c r="S15" i="22" s="1"/>
  <c r="T15" i="22" s="1"/>
  <c r="U15" i="22" s="1"/>
  <c r="V15" i="22" s="1"/>
  <c r="V13" i="22"/>
  <c r="U13" i="22"/>
  <c r="T13" i="22"/>
  <c r="S13" i="22"/>
  <c r="R13" i="22"/>
  <c r="Q13" i="22"/>
  <c r="U12" i="22"/>
  <c r="T12" i="22"/>
  <c r="S12" i="22"/>
  <c r="R12" i="22"/>
  <c r="R8" i="22"/>
  <c r="S8" i="22" s="1"/>
  <c r="T8" i="22" s="1"/>
  <c r="U8" i="22" s="1"/>
  <c r="V8" i="22" s="1"/>
  <c r="V7" i="22"/>
  <c r="V10" i="22" s="1"/>
  <c r="V6" i="22"/>
  <c r="V9" i="22" s="1"/>
  <c r="U6" i="22"/>
  <c r="U7" i="22" s="1"/>
  <c r="U10" i="22" s="1"/>
  <c r="T6" i="22"/>
  <c r="T7" i="22" s="1"/>
  <c r="T10" i="22" s="1"/>
  <c r="S6" i="22"/>
  <c r="S7" i="22" s="1"/>
  <c r="S10" i="22" s="1"/>
  <c r="R6" i="22"/>
  <c r="R7" i="22" s="1"/>
  <c r="R10" i="22" s="1"/>
  <c r="Q6" i="22"/>
  <c r="Q12" i="22" s="1"/>
  <c r="L17" i="22"/>
  <c r="K17" i="22"/>
  <c r="J17" i="22"/>
  <c r="I17" i="22"/>
  <c r="H17" i="22"/>
  <c r="G17" i="22"/>
  <c r="I33" i="22"/>
  <c r="L18" i="22"/>
  <c r="K18" i="22"/>
  <c r="J18" i="22"/>
  <c r="I18" i="22"/>
  <c r="H18" i="22"/>
  <c r="G18" i="22"/>
  <c r="H32" i="22"/>
  <c r="I31" i="22"/>
  <c r="I30" i="22"/>
  <c r="I29" i="22"/>
  <c r="K29" i="22" s="1"/>
  <c r="I28" i="22"/>
  <c r="J28" i="22" s="1"/>
  <c r="G15" i="22"/>
  <c r="H15" i="22" s="1"/>
  <c r="I15" i="22" s="1"/>
  <c r="J15" i="22" s="1"/>
  <c r="K15" i="22" s="1"/>
  <c r="L15" i="22" s="1"/>
  <c r="L13" i="22"/>
  <c r="K13" i="22"/>
  <c r="J13" i="22"/>
  <c r="I13" i="22"/>
  <c r="H13" i="22"/>
  <c r="G13" i="22"/>
  <c r="G14" i="22"/>
  <c r="H14" i="22" s="1"/>
  <c r="I14" i="22" s="1"/>
  <c r="J14" i="22" s="1"/>
  <c r="K14" i="22" s="1"/>
  <c r="L14" i="22" s="1"/>
  <c r="L11" i="22"/>
  <c r="L21" i="22" s="1"/>
  <c r="K11" i="22"/>
  <c r="K21" i="22" s="1"/>
  <c r="J11" i="22"/>
  <c r="J21" i="22" s="1"/>
  <c r="I11" i="22"/>
  <c r="I21" i="22" s="1"/>
  <c r="H11" i="22"/>
  <c r="H21" i="22" s="1"/>
  <c r="G11" i="22"/>
  <c r="G21" i="22" s="1"/>
  <c r="H8" i="22"/>
  <c r="I8" i="22" s="1"/>
  <c r="G6" i="22"/>
  <c r="G7" i="22" s="1"/>
  <c r="G10" i="22" s="1"/>
  <c r="H6" i="22"/>
  <c r="H7" i="22" s="1"/>
  <c r="I6" i="22"/>
  <c r="I7" i="22" s="1"/>
  <c r="J6" i="22"/>
  <c r="J7" i="22" s="1"/>
  <c r="K6" i="22"/>
  <c r="K7" i="22" s="1"/>
  <c r="L6" i="22"/>
  <c r="L7" i="22" s="1"/>
  <c r="T14" i="22" l="1"/>
  <c r="U14" i="22" s="1"/>
  <c r="V14" i="22" s="1"/>
  <c r="V16" i="22" s="1"/>
  <c r="V20" i="22" s="1"/>
  <c r="S16" i="22"/>
  <c r="S20" i="22" s="1"/>
  <c r="R16" i="22"/>
  <c r="R20" i="22" s="1"/>
  <c r="Q16" i="22"/>
  <c r="V12" i="22"/>
  <c r="Q21" i="22"/>
  <c r="Q7" i="22"/>
  <c r="Q10" i="22" s="1"/>
  <c r="R9" i="22"/>
  <c r="S9" i="22"/>
  <c r="Q9" i="22"/>
  <c r="T9" i="22"/>
  <c r="U9" i="22"/>
  <c r="K28" i="22"/>
  <c r="K32" i="22" s="1"/>
  <c r="J29" i="22"/>
  <c r="J32" i="22" s="1"/>
  <c r="I32" i="22"/>
  <c r="J12" i="22"/>
  <c r="J16" i="22" s="1"/>
  <c r="H12" i="22"/>
  <c r="H16" i="22" s="1"/>
  <c r="I12" i="22"/>
  <c r="I16" i="22" s="1"/>
  <c r="G12" i="22"/>
  <c r="G16" i="22" s="1"/>
  <c r="K12" i="22"/>
  <c r="K16" i="22" s="1"/>
  <c r="L12" i="22"/>
  <c r="L16" i="22" s="1"/>
  <c r="H9" i="22"/>
  <c r="H10" i="22"/>
  <c r="I10" i="22"/>
  <c r="G9" i="22"/>
  <c r="J8" i="22"/>
  <c r="K8" i="22" s="1"/>
  <c r="L8" i="22" s="1"/>
  <c r="L10" i="22" s="1"/>
  <c r="I9" i="22"/>
  <c r="Q20" i="22" l="1"/>
  <c r="T16" i="22"/>
  <c r="T20" i="22" s="1"/>
  <c r="U16" i="22"/>
  <c r="U20" i="22" s="1"/>
  <c r="K9" i="22"/>
  <c r="J9" i="22"/>
  <c r="L9" i="22"/>
  <c r="J10" i="22"/>
  <c r="K10" i="22"/>
  <c r="G19" i="22" l="1"/>
  <c r="G20" i="22" s="1"/>
  <c r="F21" i="20"/>
  <c r="F21" i="18"/>
  <c r="F21" i="17"/>
  <c r="H19" i="22" l="1"/>
  <c r="H20" i="22" s="1"/>
  <c r="B37" i="20"/>
  <c r="B37" i="18"/>
  <c r="B7" i="17"/>
  <c r="F21" i="12"/>
  <c r="F21" i="9"/>
  <c r="F21" i="8"/>
  <c r="I19" i="22" l="1"/>
  <c r="I20" i="22" s="1"/>
  <c r="B7" i="20"/>
  <c r="B7" i="18"/>
  <c r="B37" i="17"/>
  <c r="J19" i="22" l="1"/>
  <c r="J20" i="22" s="1"/>
  <c r="B37" i="12"/>
  <c r="B7" i="12"/>
  <c r="B37" i="9"/>
  <c r="B7" i="8"/>
  <c r="B37" i="8"/>
  <c r="L19" i="22" l="1"/>
  <c r="L20" i="22" s="1"/>
  <c r="K19" i="22"/>
  <c r="K20" i="22" s="1"/>
  <c r="B7" i="9"/>
</calcChain>
</file>

<file path=xl/sharedStrings.xml><?xml version="1.0" encoding="utf-8"?>
<sst xmlns="http://schemas.openxmlformats.org/spreadsheetml/2006/main" count="446" uniqueCount="120">
  <si>
    <t>구분</t>
    <phoneticPr fontId="2" type="noConversion"/>
  </si>
  <si>
    <t>내역</t>
    <phoneticPr fontId="2" type="noConversion"/>
  </si>
  <si>
    <t>비고</t>
    <phoneticPr fontId="2" type="noConversion"/>
  </si>
  <si>
    <t xml:space="preserve"> </t>
    <phoneticPr fontId="2" type="noConversion"/>
  </si>
  <si>
    <t>관리비</t>
    <phoneticPr fontId="2" type="noConversion"/>
  </si>
  <si>
    <t>KT텔레캅</t>
    <phoneticPr fontId="2" type="noConversion"/>
  </si>
  <si>
    <t>서빙로봇</t>
    <phoneticPr fontId="2" type="noConversion"/>
  </si>
  <si>
    <t>테이블오더</t>
    <phoneticPr fontId="2" type="noConversion"/>
  </si>
  <si>
    <t>월별 매출액</t>
    <phoneticPr fontId="2" type="noConversion"/>
  </si>
  <si>
    <t>공제항목</t>
    <phoneticPr fontId="2" type="noConversion"/>
  </si>
  <si>
    <t>위탁운영 수수료</t>
    <phoneticPr fontId="2" type="noConversion"/>
  </si>
  <si>
    <t>골프존 유지보수비</t>
    <phoneticPr fontId="2" type="noConversion"/>
  </si>
  <si>
    <t>운영비</t>
    <phoneticPr fontId="2" type="noConversion"/>
  </si>
  <si>
    <t>카드수수료</t>
    <phoneticPr fontId="2" type="noConversion"/>
  </si>
  <si>
    <t>공제항목 합계</t>
    <phoneticPr fontId="2" type="noConversion"/>
  </si>
  <si>
    <t>롤스크린 유지보수</t>
    <phoneticPr fontId="2" type="noConversion"/>
  </si>
  <si>
    <t>인터넷</t>
    <phoneticPr fontId="2" type="noConversion"/>
  </si>
  <si>
    <t>IPTV</t>
    <phoneticPr fontId="2" type="noConversion"/>
  </si>
  <si>
    <t>전화요금</t>
    <phoneticPr fontId="2" type="noConversion"/>
  </si>
  <si>
    <t>정수기 렌탈</t>
    <phoneticPr fontId="2" type="noConversion"/>
  </si>
  <si>
    <t>공기청정기 렌탈</t>
    <phoneticPr fontId="2" type="noConversion"/>
  </si>
  <si>
    <t>도도포인트</t>
    <phoneticPr fontId="2" type="noConversion"/>
  </si>
  <si>
    <t>운영비 계</t>
    <phoneticPr fontId="2" type="noConversion"/>
  </si>
  <si>
    <t>금액</t>
    <phoneticPr fontId="2" type="noConversion"/>
  </si>
  <si>
    <t>2027년 1월 1일부터 30,000,000원</t>
    <phoneticPr fontId="2" type="noConversion"/>
  </si>
  <si>
    <t>정산기준월</t>
    <phoneticPr fontId="2" type="noConversion"/>
  </si>
  <si>
    <t>정산일</t>
    <phoneticPr fontId="2" type="noConversion"/>
  </si>
  <si>
    <t>용역비 정산서</t>
    <phoneticPr fontId="2" type="noConversion"/>
  </si>
  <si>
    <t>(월별 매출액 - 공제항목 합계)</t>
    <phoneticPr fontId="2" type="noConversion"/>
  </si>
  <si>
    <r>
      <t xml:space="preserve">주식회사 이지벤처스 </t>
    </r>
    <r>
      <rPr>
        <sz val="11"/>
        <color theme="1"/>
        <rFont val="맑은 고딕"/>
        <family val="3"/>
        <charset val="129"/>
      </rPr>
      <t>[직인 생략]</t>
    </r>
    <phoneticPr fontId="2" type="noConversion"/>
  </si>
  <si>
    <t>로봇 2대 이용료, 단말비 및 보험료</t>
    <phoneticPr fontId="2" type="noConversion"/>
  </si>
  <si>
    <t>메뉴판 14대·알림판 이용료</t>
    <phoneticPr fontId="2" type="noConversion"/>
  </si>
  <si>
    <t>롤스크린 14개 유지보수료</t>
    <phoneticPr fontId="2" type="noConversion"/>
  </si>
  <si>
    <t>1Gbps 인터넷 이용료</t>
    <phoneticPr fontId="2" type="noConversion"/>
  </si>
  <si>
    <t>IPTV 이용료</t>
    <phoneticPr fontId="2" type="noConversion"/>
  </si>
  <si>
    <t>CCTV, 보안 이용료</t>
    <phoneticPr fontId="2" type="noConversion"/>
  </si>
  <si>
    <t>청호나이스, 쿠쿠 정수기 이용료</t>
    <phoneticPr fontId="2" type="noConversion"/>
  </si>
  <si>
    <t>쿠쿠 공기청정기 이용료</t>
    <phoneticPr fontId="2" type="noConversion"/>
  </si>
  <si>
    <t>포인트 적립 서비스 이용료</t>
    <phoneticPr fontId="2" type="noConversion"/>
  </si>
  <si>
    <t>매장 내 전화 이용료</t>
    <phoneticPr fontId="2" type="noConversion"/>
  </si>
  <si>
    <t>차감액</t>
    <phoneticPr fontId="2" type="noConversion"/>
  </si>
  <si>
    <t>광고비</t>
    <phoneticPr fontId="2" type="noConversion"/>
  </si>
  <si>
    <t>광고비 충전 등</t>
    <phoneticPr fontId="2" type="noConversion"/>
  </si>
  <si>
    <t>VAT 별도</t>
    <phoneticPr fontId="2" type="noConversion"/>
  </si>
  <si>
    <t>정산서의 ‘할인 및 이용권’으로 차감되는 결제 항목(모바일이용권, 지류이용권, 상품권, 골프존마일리지)의 표시 금액 합계</t>
    <phoneticPr fontId="2" type="noConversion"/>
  </si>
  <si>
    <t>실제 매출</t>
    <phoneticPr fontId="2" type="noConversion"/>
  </si>
  <si>
    <t>실제 매출 - 차감액</t>
    <phoneticPr fontId="2" type="noConversion"/>
  </si>
  <si>
    <t>(실제 매출 - 차감액) / 1.1</t>
    <phoneticPr fontId="2" type="noConversion"/>
  </si>
  <si>
    <t>현금 정산 차액</t>
    <phoneticPr fontId="2" type="noConversion"/>
  </si>
  <si>
    <t>GPM상 현금과 실정산 현금 차액</t>
    <phoneticPr fontId="2" type="noConversion"/>
  </si>
  <si>
    <t>비즈몰 S-POINT</t>
    <phoneticPr fontId="2" type="noConversion"/>
  </si>
  <si>
    <t>비즈몰 S-POINT 750만 포인트 이용액</t>
    <phoneticPr fontId="2" type="noConversion"/>
  </si>
  <si>
    <t>결제수단수수료</t>
    <phoneticPr fontId="2" type="noConversion"/>
  </si>
  <si>
    <t>GPM 정산서상 부가세를 제외한 금액</t>
    <phoneticPr fontId="2" type="noConversion"/>
  </si>
  <si>
    <t>GPM상 월별 매출(매출/라운드관리 &gt; 매출 조회 &gt; 월별 매출) 화면에 표시되는 “매출금액”과 “보조단말기 결제내역”을 합산한 금액에서 “할인금액”을 차감한 금액</t>
    <phoneticPr fontId="2" type="noConversion"/>
  </si>
  <si>
    <t>월별 매출의 ‘신용카드’ 금액과 보조단말기 카드 승인 금액 x 1.15%</t>
    <phoneticPr fontId="2" type="noConversion"/>
  </si>
  <si>
    <t>입금내역 조회상 '선결제', '골프존패스'의 정산기준월 수수료</t>
    <phoneticPr fontId="2" type="noConversion"/>
  </si>
  <si>
    <t>롤스크린유지보수</t>
    <phoneticPr fontId="2" type="noConversion"/>
  </si>
  <si>
    <t>정산서의 ‘할인 및 이용권’으로 차감되는 결제 항목(모바일이용권, 지류이용권, 상품권, G패스 포인트)의 표시 금액 합계</t>
    <phoneticPr fontId="2" type="noConversion"/>
  </si>
  <si>
    <t>2027년 1월 1일부터 34,000,000원</t>
    <phoneticPr fontId="2" type="noConversion"/>
  </si>
  <si>
    <t>POS관리</t>
    <phoneticPr fontId="2" type="noConversion"/>
  </si>
  <si>
    <t>POS 유지보수</t>
    <phoneticPr fontId="2" type="noConversion"/>
  </si>
  <si>
    <r>
      <t xml:space="preserve">CCTV, 보안 이용료 </t>
    </r>
    <r>
      <rPr>
        <sz val="8"/>
        <color theme="1" tint="0.249977111117893"/>
        <rFont val="맑은 고딕"/>
        <family val="3"/>
        <charset val="129"/>
      </rPr>
      <t>(26년 8월 이용료 면제, 알림서비스만 청구)</t>
    </r>
    <phoneticPr fontId="2" type="noConversion"/>
  </si>
  <si>
    <t>판매가</t>
    <phoneticPr fontId="2" type="noConversion"/>
  </si>
  <si>
    <t>게임비</t>
    <phoneticPr fontId="2" type="noConversion"/>
  </si>
  <si>
    <t>업그레이드 고정비용</t>
    <phoneticPr fontId="2" type="noConversion"/>
  </si>
  <si>
    <t>업그레이드 매출배분</t>
    <phoneticPr fontId="2" type="noConversion"/>
  </si>
  <si>
    <t>기존 위탁운영 수수료</t>
    <phoneticPr fontId="2" type="noConversion"/>
  </si>
  <si>
    <t>추가 수수료율</t>
    <phoneticPr fontId="2" type="noConversion"/>
  </si>
  <si>
    <t>설정값</t>
    <phoneticPr fontId="2" type="noConversion"/>
  </si>
  <si>
    <t>RS</t>
    <phoneticPr fontId="2" type="noConversion"/>
  </si>
  <si>
    <t>골프존 매출(VAT포함)</t>
    <phoneticPr fontId="2" type="noConversion"/>
  </si>
  <si>
    <t>골프존 매출(VAT별도)</t>
    <phoneticPr fontId="2" type="noConversion"/>
  </si>
  <si>
    <t>식음료 매출(VAT별도)</t>
    <phoneticPr fontId="2" type="noConversion"/>
  </si>
  <si>
    <t>매출합계(VAT포함)</t>
    <phoneticPr fontId="2" type="noConversion"/>
  </si>
  <si>
    <t>매출합계(VAT별도)</t>
    <phoneticPr fontId="2" type="noConversion"/>
  </si>
  <si>
    <t>매출</t>
    <phoneticPr fontId="2" type="noConversion"/>
  </si>
  <si>
    <t>총 룸 수</t>
    <phoneticPr fontId="2" type="noConversion"/>
  </si>
  <si>
    <t>위탁운영 수수료(임대료)</t>
    <phoneticPr fontId="2" type="noConversion"/>
  </si>
  <si>
    <t>3월~8월 평균</t>
    <phoneticPr fontId="2" type="noConversion"/>
  </si>
  <si>
    <t>골프존 매출(VAT포함) 중 카드매출 3~8월 평균 87% / x 1.15%로 산정</t>
    <phoneticPr fontId="2" type="noConversion"/>
  </si>
  <si>
    <t>운영비(고정비)</t>
    <phoneticPr fontId="2" type="noConversion"/>
  </si>
  <si>
    <t>전화요금 1.5만원, 광고비 35만원(8월 348,750)으로 산정</t>
    <phoneticPr fontId="2" type="noConversion"/>
  </si>
  <si>
    <t>공제항목 합계(VAT별도)</t>
    <phoneticPr fontId="2" type="noConversion"/>
  </si>
  <si>
    <t>힐링스토리 지출</t>
    <phoneticPr fontId="2" type="noConversion"/>
  </si>
  <si>
    <t>인건비</t>
    <phoneticPr fontId="2" type="noConversion"/>
  </si>
  <si>
    <t>소모품</t>
    <phoneticPr fontId="2" type="noConversion"/>
  </si>
  <si>
    <t>30일 기준으로 계산</t>
    <phoneticPr fontId="2" type="noConversion"/>
  </si>
  <si>
    <t>시급</t>
    <phoneticPr fontId="2" type="noConversion"/>
  </si>
  <si>
    <t>08:00 ~ 16:00</t>
    <phoneticPr fontId="2" type="noConversion"/>
  </si>
  <si>
    <t>인원</t>
    <phoneticPr fontId="2" type="noConversion"/>
  </si>
  <si>
    <t>근무시간</t>
    <phoneticPr fontId="2" type="noConversion"/>
  </si>
  <si>
    <t>근무시간대</t>
    <phoneticPr fontId="2" type="noConversion"/>
  </si>
  <si>
    <t>16:00 ~ 24:00</t>
    <phoneticPr fontId="2" type="noConversion"/>
  </si>
  <si>
    <t>지급 총액</t>
    <phoneticPr fontId="2" type="noConversion"/>
  </si>
  <si>
    <t>평일(주5일)</t>
    <phoneticPr fontId="2" type="noConversion"/>
  </si>
  <si>
    <t>주말(주2일)</t>
    <phoneticPr fontId="2" type="noConversion"/>
  </si>
  <si>
    <t>합계</t>
    <phoneticPr fontId="2" type="noConversion"/>
  </si>
  <si>
    <t>퇴직금</t>
    <phoneticPr fontId="2" type="noConversion"/>
  </si>
  <si>
    <t>사회보험료</t>
    <phoneticPr fontId="2" type="noConversion"/>
  </si>
  <si>
    <t>-</t>
    <phoneticPr fontId="2" type="noConversion"/>
  </si>
  <si>
    <t>월 인건비 추정</t>
    <phoneticPr fontId="2" type="noConversion"/>
  </si>
  <si>
    <t>기본 설정</t>
    <phoneticPr fontId="2" type="noConversion"/>
  </si>
  <si>
    <t>인건비 및 소모품비 설정</t>
    <phoneticPr fontId="2" type="noConversion"/>
  </si>
  <si>
    <t>소모품비(음료, 간식 등)</t>
    <phoneticPr fontId="2" type="noConversion"/>
  </si>
  <si>
    <t>힐링스토리 지출 합계</t>
    <phoneticPr fontId="2" type="noConversion"/>
  </si>
  <si>
    <t>김형호 수익(VAT별도)</t>
    <phoneticPr fontId="2" type="noConversion"/>
  </si>
  <si>
    <t>이지벤처스 수익(VAT별도)</t>
    <phoneticPr fontId="2" type="noConversion"/>
  </si>
  <si>
    <r>
      <t>1. 업그레이드 고정비용 기준 분석</t>
    </r>
    <r>
      <rPr>
        <sz val="9"/>
        <color theme="1"/>
        <rFont val="맑은 고딕"/>
        <family val="3"/>
        <charset val="129"/>
      </rPr>
      <t xml:space="preserve"> (+600만 원)</t>
    </r>
    <phoneticPr fontId="2" type="noConversion"/>
  </si>
  <si>
    <r>
      <t>2. 업그레이드 매출배분 기준 분석</t>
    </r>
    <r>
      <rPr>
        <sz val="9"/>
        <color theme="1"/>
        <rFont val="맑은 고딕"/>
        <family val="3"/>
        <charset val="129"/>
      </rPr>
      <t xml:space="preserve"> (+500만 원 + (매출합계 - 추가 수수료 기준 매출액) x 추가 수수료율)</t>
    </r>
    <phoneticPr fontId="2" type="noConversion"/>
  </si>
  <si>
    <t>업그레이드 비용</t>
    <phoneticPr fontId="2" type="noConversion"/>
  </si>
  <si>
    <t>시스템 업그레이드</t>
    <phoneticPr fontId="2" type="noConversion"/>
  </si>
  <si>
    <t>비용</t>
    <phoneticPr fontId="2" type="noConversion"/>
  </si>
  <si>
    <t>수량</t>
    <phoneticPr fontId="2" type="noConversion"/>
  </si>
  <si>
    <t>└ 양타 추가 비용</t>
    <phoneticPr fontId="2" type="noConversion"/>
  </si>
  <si>
    <t>프로젝트(이펀)</t>
    <phoneticPr fontId="2" type="noConversion"/>
  </si>
  <si>
    <t>무이자 36개월</t>
    <phoneticPr fontId="2" type="noConversion"/>
  </si>
  <si>
    <t>└ 프로젝트(바닥으로 변경)</t>
    <phoneticPr fontId="2" type="noConversion"/>
  </si>
  <si>
    <t>추가 수수료 기준 매출액</t>
    <phoneticPr fontId="2" type="noConversion"/>
  </si>
  <si>
    <t>연 5% 이자 반영(3년)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</si>
</sst>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76" formatCode="yyyy/mm"/>
    <numFmt numFmtId="177" formatCode="#,##0_ ;[Red]\-#,##0\ "/>
    <numFmt numFmtId="178" formatCode="yyyy&quot;년&quot;\ m&quot;월&quot;;@"/>
    <numFmt numFmtId="179" formatCode="_-* #,##0_-;[Red]\-* #,##0_-;_-* &quot;-&quot;_-;_-@_-"/>
  </numFmts>
  <fonts count="22" x14ac:knownFonts="1"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2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4"/>
      <color theme="1"/>
      <name val="맑은 고딕"/>
      <family val="2"/>
      <charset val="129"/>
    </font>
    <font>
      <sz val="9"/>
      <color theme="1" tint="0.249977111117893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0"/>
      <color theme="1" tint="0.249977111117893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9"/>
      <color theme="1" tint="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color theme="1" tint="0.249977111117893"/>
      <name val="맑은 고딕"/>
      <family val="3"/>
      <charset val="129"/>
    </font>
    <font>
      <sz val="11"/>
      <color theme="1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/>
      </top>
      <bottom style="medium">
        <color theme="1"/>
      </bottom>
      <diagonal/>
    </border>
    <border>
      <left style="thin">
        <color theme="0" tint="-0.34998626667073579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n">
        <color theme="0" tint="-0.34998626667073579"/>
      </right>
      <top style="medium">
        <color theme="1"/>
      </top>
      <bottom style="medium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1"/>
      </bottom>
      <diagonal/>
    </border>
    <border>
      <left/>
      <right/>
      <top style="thin">
        <color theme="0" tint="-0.34998626667073579"/>
      </top>
      <bottom style="medium">
        <color theme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double">
        <color auto="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double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thin">
        <color theme="0" tint="-0.34998626667073579"/>
      </right>
      <top style="double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178" fontId="0" fillId="0" borderId="1" xfId="0" applyNumberForma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9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 wrapText="1" indent="1"/>
    </xf>
    <xf numFmtId="0" fontId="0" fillId="4" borderId="1" xfId="0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indent="1"/>
    </xf>
    <xf numFmtId="0" fontId="17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6" borderId="5" xfId="0" applyFont="1" applyFill="1" applyBorder="1" applyAlignment="1">
      <alignment horizontal="left" vertical="center" indent="1"/>
    </xf>
    <xf numFmtId="0" fontId="19" fillId="5" borderId="7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 indent="1"/>
    </xf>
    <xf numFmtId="41" fontId="0" fillId="0" borderId="1" xfId="0" applyNumberFormat="1" applyBorder="1">
      <alignment vertical="center"/>
    </xf>
    <xf numFmtId="177" fontId="4" fillId="0" borderId="1" xfId="0" applyNumberFormat="1" applyFont="1" applyBorder="1" applyAlignment="1">
      <alignment horizontal="right" vertical="center" indent="1"/>
    </xf>
    <xf numFmtId="177" fontId="10" fillId="2" borderId="1" xfId="0" applyNumberFormat="1" applyFont="1" applyFill="1" applyBorder="1" applyAlignment="1">
      <alignment horizontal="right" vertical="center" indent="1"/>
    </xf>
    <xf numFmtId="177" fontId="3" fillId="4" borderId="1" xfId="0" applyNumberFormat="1" applyFont="1" applyFill="1" applyBorder="1" applyAlignment="1">
      <alignment horizontal="right" vertical="center" indent="1"/>
    </xf>
    <xf numFmtId="177" fontId="3" fillId="0" borderId="1" xfId="0" applyNumberFormat="1" applyFont="1" applyBorder="1" applyAlignment="1">
      <alignment horizontal="right" vertical="center" indent="1"/>
    </xf>
    <xf numFmtId="177" fontId="3" fillId="0" borderId="5" xfId="0" applyNumberFormat="1" applyFont="1" applyBorder="1" applyAlignment="1">
      <alignment horizontal="right" vertical="center" indent="1"/>
    </xf>
    <xf numFmtId="177" fontId="9" fillId="2" borderId="1" xfId="0" applyNumberFormat="1" applyFont="1" applyFill="1" applyBorder="1" applyAlignment="1">
      <alignment horizontal="right" vertical="center" indent="1"/>
    </xf>
    <xf numFmtId="177" fontId="3" fillId="3" borderId="1" xfId="0" applyNumberFormat="1" applyFont="1" applyFill="1" applyBorder="1" applyAlignment="1">
      <alignment horizontal="right" vertical="center" indent="1"/>
    </xf>
    <xf numFmtId="177" fontId="3" fillId="6" borderId="5" xfId="0" applyNumberFormat="1" applyFont="1" applyFill="1" applyBorder="1" applyAlignment="1">
      <alignment horizontal="right" vertical="center" indent="1"/>
    </xf>
    <xf numFmtId="177" fontId="18" fillId="5" borderId="6" xfId="0" applyNumberFormat="1" applyFont="1" applyFill="1" applyBorder="1" applyAlignment="1">
      <alignment horizontal="right" vertical="center" indent="1"/>
    </xf>
    <xf numFmtId="177" fontId="0" fillId="0" borderId="0" xfId="0" applyNumberFormat="1">
      <alignment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4" fillId="0" borderId="0" xfId="0" applyNumberFormat="1" applyFont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0" fontId="0" fillId="2" borderId="1" xfId="0" applyFill="1" applyBorder="1">
      <alignment vertical="center"/>
    </xf>
    <xf numFmtId="41" fontId="3" fillId="0" borderId="1" xfId="1" applyFont="1" applyBorder="1">
      <alignment vertical="center"/>
    </xf>
    <xf numFmtId="9" fontId="3" fillId="0" borderId="1" xfId="1" applyNumberFormat="1" applyFont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3" fillId="0" borderId="8" xfId="0" applyFont="1" applyBorder="1" applyAlignment="1">
      <alignment horizontal="center" vertical="center"/>
    </xf>
    <xf numFmtId="41" fontId="0" fillId="0" borderId="8" xfId="0" applyNumberFormat="1" applyBorder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41" fontId="3" fillId="4" borderId="1" xfId="0" applyNumberFormat="1" applyFont="1" applyFill="1" applyBorder="1">
      <alignment vertical="center"/>
    </xf>
    <xf numFmtId="0" fontId="3" fillId="4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1" xfId="0" applyFill="1" applyBorder="1">
      <alignment vertical="center"/>
    </xf>
    <xf numFmtId="41" fontId="3" fillId="6" borderId="1" xfId="0" applyNumberFormat="1" applyFont="1" applyFill="1" applyBorder="1">
      <alignment vertical="center"/>
    </xf>
    <xf numFmtId="0" fontId="0" fillId="0" borderId="22" xfId="0" applyBorder="1" applyAlignment="1">
      <alignment vertical="center"/>
    </xf>
    <xf numFmtId="0" fontId="0" fillId="0" borderId="8" xfId="0" applyBorder="1" applyAlignment="1">
      <alignment vertical="center"/>
    </xf>
    <xf numFmtId="3" fontId="0" fillId="0" borderId="0" xfId="0" applyNumberFormat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18" xfId="0" applyFont="1" applyFill="1" applyBorder="1" applyAlignment="1">
      <alignment vertical="center"/>
    </xf>
    <xf numFmtId="0" fontId="0" fillId="2" borderId="23" xfId="0" applyFill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1" fontId="0" fillId="0" borderId="23" xfId="1" applyFont="1" applyBorder="1">
      <alignment vertical="center"/>
    </xf>
    <xf numFmtId="41" fontId="0" fillId="0" borderId="23" xfId="0" applyNumberFormat="1" applyBorder="1">
      <alignment vertical="center"/>
    </xf>
    <xf numFmtId="41" fontId="3" fillId="0" borderId="23" xfId="1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3" fillId="2" borderId="2" xfId="0" applyNumberFormat="1" applyFont="1" applyFill="1" applyBorder="1" applyAlignment="1">
      <alignment horizontal="center" vertical="center"/>
    </xf>
    <xf numFmtId="41" fontId="3" fillId="2" borderId="4" xfId="0" applyNumberFormat="1" applyFont="1" applyFill="1" applyBorder="1" applyAlignment="1">
      <alignment horizontal="center" vertical="center"/>
    </xf>
    <xf numFmtId="41" fontId="3" fillId="2" borderId="3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41" fontId="3" fillId="9" borderId="1" xfId="0" applyNumberFormat="1" applyFont="1" applyFill="1" applyBorder="1">
      <alignment vertical="center"/>
    </xf>
    <xf numFmtId="0" fontId="0" fillId="9" borderId="1" xfId="0" applyFill="1" applyBorder="1">
      <alignment vertical="center"/>
    </xf>
    <xf numFmtId="0" fontId="3" fillId="7" borderId="5" xfId="0" applyFont="1" applyFill="1" applyBorder="1" applyAlignment="1">
      <alignment horizontal="center" vertical="center"/>
    </xf>
    <xf numFmtId="41" fontId="3" fillId="7" borderId="5" xfId="0" applyNumberFormat="1" applyFont="1" applyFill="1" applyBorder="1">
      <alignment vertical="center"/>
    </xf>
    <xf numFmtId="0" fontId="0" fillId="7" borderId="5" xfId="0" applyFill="1" applyBorder="1">
      <alignment vertical="center"/>
    </xf>
    <xf numFmtId="0" fontId="3" fillId="8" borderId="27" xfId="0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179" fontId="3" fillId="8" borderId="26" xfId="0" applyNumberFormat="1" applyFont="1" applyFill="1" applyBorder="1">
      <alignment vertical="center"/>
    </xf>
    <xf numFmtId="0" fontId="3" fillId="8" borderId="26" xfId="0" applyFont="1" applyFill="1" applyBorder="1">
      <alignment vertical="center"/>
    </xf>
    <xf numFmtId="0" fontId="0" fillId="0" borderId="1" xfId="0" applyBorder="1" applyAlignment="1">
      <alignment vertical="center"/>
    </xf>
    <xf numFmtId="0" fontId="0" fillId="0" borderId="23" xfId="0" applyBorder="1" applyAlignment="1">
      <alignment vertical="center"/>
    </xf>
    <xf numFmtId="41" fontId="0" fillId="0" borderId="23" xfId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29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5" xfId="1" applyFont="1" applyBorder="1">
      <alignment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41" fontId="3" fillId="2" borderId="30" xfId="0" applyNumberFormat="1" applyFont="1" applyFill="1" applyBorder="1">
      <alignment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3" fillId="2" borderId="1" xfId="0" applyNumberFormat="1" applyFont="1" applyFill="1" applyBorder="1" applyAlignment="1">
      <alignment vertical="center"/>
    </xf>
    <xf numFmtId="41" fontId="0" fillId="0" borderId="5" xfId="0" applyNumberFormat="1" applyBorder="1" applyAlignment="1">
      <alignment horizontal="center" vertical="center"/>
    </xf>
    <xf numFmtId="41" fontId="3" fillId="2" borderId="34" xfId="0" applyNumberFormat="1" applyFont="1" applyFill="1" applyBorder="1" applyAlignment="1">
      <alignment vertical="center"/>
    </xf>
  </cellXfs>
  <cellStyles count="2">
    <cellStyle name="쉼표 [0]" xfId="1" builtinId="6"/>
    <cellStyle name="표준" xfId="0" builtinId="0"/>
  </cellStyles>
  <dxfs count="7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1"/>
      </font>
      <border>
        <bottom style="medium">
          <color theme="1"/>
        </bottom>
      </border>
    </dxf>
    <dxf>
      <font>
        <color theme="1"/>
      </font>
      <fill>
        <patternFill patternType="none"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1" defaultTableStyle="TableStyleMedium2" defaultPivotStyle="PivotStyleLight16">
    <tableStyle name="TableStyleLight15 2" pivot="0" count="7" xr9:uid="{287F2AFC-A3C4-4804-BA26-EDB0AED22532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사용자 지정 1">
      <a:dk1>
        <a:srgbClr val="262626"/>
      </a:dk1>
      <a:lt1>
        <a:srgbClr val="FFFFFF"/>
      </a:lt1>
      <a:dk2>
        <a:srgbClr val="262626"/>
      </a:dk2>
      <a:lt2>
        <a:srgbClr val="FFFFFF"/>
      </a:lt2>
      <a:accent1>
        <a:srgbClr val="FF6666"/>
      </a:accent1>
      <a:accent2>
        <a:srgbClr val="FFCC66"/>
      </a:accent2>
      <a:accent3>
        <a:srgbClr val="99CC99"/>
      </a:accent3>
      <a:accent4>
        <a:srgbClr val="66CCFF"/>
      </a:accent4>
      <a:accent5>
        <a:srgbClr val="BFA6D0"/>
      </a:accent5>
      <a:accent6>
        <a:srgbClr val="168EA6"/>
      </a:accent6>
      <a:hlink>
        <a:srgbClr val="0CAEFF"/>
      </a:hlink>
      <a:folHlink>
        <a:srgbClr val="59595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4E7C-CBB8-461D-AFD3-B56CBC49A988}">
  <sheetPr>
    <tabColor rgb="FF0070C0"/>
  </sheetPr>
  <dimension ref="A1:W33"/>
  <sheetViews>
    <sheetView showGridLines="0" tabSelected="1" workbookViewId="0">
      <selection activeCell="U29" sqref="U29"/>
    </sheetView>
  </sheetViews>
  <sheetFormatPr defaultRowHeight="16.5" x14ac:dyDescent="0.2"/>
  <cols>
    <col min="1" max="1" width="2.28515625" style="104" bestFit="1" customWidth="1"/>
    <col min="2" max="2" width="21.85546875" bestFit="1" customWidth="1"/>
    <col min="3" max="3" width="12.28515625" bestFit="1" customWidth="1"/>
    <col min="4" max="4" width="2.28515625" bestFit="1" customWidth="1"/>
    <col min="5" max="5" width="22.140625" customWidth="1"/>
    <col min="6" max="6" width="21.85546875" bestFit="1" customWidth="1"/>
    <col min="7" max="12" width="14.28515625" customWidth="1"/>
    <col min="13" max="13" width="17.7109375" bestFit="1" customWidth="1"/>
    <col min="14" max="14" width="2.28515625" bestFit="1" customWidth="1"/>
    <col min="15" max="15" width="22.140625" customWidth="1"/>
    <col min="16" max="16" width="21.85546875" bestFit="1" customWidth="1"/>
    <col min="17" max="22" width="14.28515625" customWidth="1"/>
    <col min="23" max="23" width="17.7109375" bestFit="1" customWidth="1"/>
  </cols>
  <sheetData>
    <row r="1" spans="1:23" x14ac:dyDescent="0.2">
      <c r="D1" t="s">
        <v>3</v>
      </c>
      <c r="N1" t="s">
        <v>3</v>
      </c>
    </row>
    <row r="2" spans="1:23" x14ac:dyDescent="0.2">
      <c r="B2" s="4" t="s">
        <v>102</v>
      </c>
      <c r="E2" s="4" t="s">
        <v>108</v>
      </c>
      <c r="O2" s="4" t="s">
        <v>109</v>
      </c>
    </row>
    <row r="3" spans="1:23" ht="6" customHeight="1" x14ac:dyDescent="0.2">
      <c r="A3"/>
      <c r="E3" s="4"/>
      <c r="O3" s="4"/>
    </row>
    <row r="4" spans="1:23" x14ac:dyDescent="0.2">
      <c r="B4" s="92" t="s">
        <v>0</v>
      </c>
      <c r="C4" s="78" t="s">
        <v>69</v>
      </c>
      <c r="E4" s="78" t="s">
        <v>0</v>
      </c>
      <c r="F4" s="78" t="s">
        <v>1</v>
      </c>
      <c r="G4" s="80" t="s">
        <v>70</v>
      </c>
      <c r="H4" s="81"/>
      <c r="I4" s="81"/>
      <c r="J4" s="81"/>
      <c r="K4" s="81"/>
      <c r="L4" s="82"/>
      <c r="M4" s="78" t="s">
        <v>2</v>
      </c>
      <c r="O4" s="78" t="s">
        <v>0</v>
      </c>
      <c r="P4" s="78" t="s">
        <v>1</v>
      </c>
      <c r="Q4" s="80" t="s">
        <v>70</v>
      </c>
      <c r="R4" s="81"/>
      <c r="S4" s="81"/>
      <c r="T4" s="81"/>
      <c r="U4" s="81"/>
      <c r="V4" s="82"/>
      <c r="W4" s="78" t="s">
        <v>2</v>
      </c>
    </row>
    <row r="5" spans="1:23" ht="17.25" thickBot="1" x14ac:dyDescent="0.25">
      <c r="A5" s="104" t="s">
        <v>3</v>
      </c>
      <c r="B5" s="93"/>
      <c r="C5" s="79"/>
      <c r="E5" s="79"/>
      <c r="F5" s="79"/>
      <c r="G5" s="73">
        <v>7</v>
      </c>
      <c r="H5" s="73">
        <v>8</v>
      </c>
      <c r="I5" s="73">
        <v>9</v>
      </c>
      <c r="J5" s="73">
        <v>10</v>
      </c>
      <c r="K5" s="73">
        <v>11</v>
      </c>
      <c r="L5" s="73">
        <v>12</v>
      </c>
      <c r="M5" s="79"/>
      <c r="O5" s="79"/>
      <c r="P5" s="79"/>
      <c r="Q5" s="73">
        <v>7</v>
      </c>
      <c r="R5" s="73">
        <v>8</v>
      </c>
      <c r="S5" s="73">
        <v>9</v>
      </c>
      <c r="T5" s="73">
        <v>10</v>
      </c>
      <c r="U5" s="73">
        <v>11</v>
      </c>
      <c r="V5" s="73">
        <v>12</v>
      </c>
      <c r="W5" s="79"/>
    </row>
    <row r="6" spans="1:23" x14ac:dyDescent="0.2">
      <c r="B6" s="70" t="s">
        <v>77</v>
      </c>
      <c r="C6" s="71">
        <v>14</v>
      </c>
      <c r="E6" s="76" t="s">
        <v>76</v>
      </c>
      <c r="F6" s="77" t="s">
        <v>71</v>
      </c>
      <c r="G6" s="72">
        <f>G5*$C$6*$C$7*30</f>
        <v>63210000</v>
      </c>
      <c r="H6" s="72">
        <f>H5*$C$6*$C$7*30</f>
        <v>72240000</v>
      </c>
      <c r="I6" s="72">
        <f>I5*$C$6*$C$7*30</f>
        <v>81270000</v>
      </c>
      <c r="J6" s="72">
        <f>J5*$C$6*$C$7*30</f>
        <v>90300000</v>
      </c>
      <c r="K6" s="72">
        <f>K5*$C$6*$C$7*30</f>
        <v>99330000</v>
      </c>
      <c r="L6" s="72">
        <f>L5*$C$6*$C$7*30</f>
        <v>108360000</v>
      </c>
      <c r="M6" s="87" t="s">
        <v>87</v>
      </c>
      <c r="O6" s="76" t="s">
        <v>76</v>
      </c>
      <c r="P6" s="77" t="s">
        <v>71</v>
      </c>
      <c r="Q6" s="72">
        <f>Q5*$C$6*$C$7*30</f>
        <v>63210000</v>
      </c>
      <c r="R6" s="72">
        <f>R5*$C$6*$C$7*30</f>
        <v>72240000</v>
      </c>
      <c r="S6" s="72">
        <f>S5*$C$6*$C$7*30</f>
        <v>81270000</v>
      </c>
      <c r="T6" s="72">
        <f>T5*$C$6*$C$7*30</f>
        <v>90300000</v>
      </c>
      <c r="U6" s="72">
        <f>U5*$C$6*$C$7*30</f>
        <v>99330000</v>
      </c>
      <c r="V6" s="72">
        <f>V5*$C$6*$C$7*30</f>
        <v>108360000</v>
      </c>
      <c r="W6" s="87" t="s">
        <v>87</v>
      </c>
    </row>
    <row r="7" spans="1:23" x14ac:dyDescent="0.2">
      <c r="B7" s="67" t="s">
        <v>63</v>
      </c>
      <c r="C7" s="68">
        <v>21500</v>
      </c>
      <c r="E7" s="58"/>
      <c r="F7" s="65" t="s">
        <v>72</v>
      </c>
      <c r="G7" s="66">
        <f>ROUNDDOWN(G6/1.1,0)</f>
        <v>57463636</v>
      </c>
      <c r="H7" s="66">
        <f>ROUNDDOWN(H6/1.1,0)</f>
        <v>65672727</v>
      </c>
      <c r="I7" s="66">
        <f>ROUNDDOWN(I6/1.1,0)</f>
        <v>73881818</v>
      </c>
      <c r="J7" s="66">
        <f>ROUNDDOWN(J6/1.1,0)</f>
        <v>82090909</v>
      </c>
      <c r="K7" s="66">
        <f>ROUNDDOWN(K6/1.1,0)</f>
        <v>90300000</v>
      </c>
      <c r="L7" s="66">
        <f>ROUNDDOWN(L6/1.1,0)</f>
        <v>98509090</v>
      </c>
      <c r="M7" s="88"/>
      <c r="O7" s="58"/>
      <c r="P7" s="65" t="s">
        <v>72</v>
      </c>
      <c r="Q7" s="66">
        <f>ROUNDDOWN(Q6/1.1,0)</f>
        <v>57463636</v>
      </c>
      <c r="R7" s="66">
        <f>ROUNDDOWN(R6/1.1,0)</f>
        <v>65672727</v>
      </c>
      <c r="S7" s="66">
        <f>ROUNDDOWN(S6/1.1,0)</f>
        <v>73881818</v>
      </c>
      <c r="T7" s="66">
        <f>ROUNDDOWN(T6/1.1,0)</f>
        <v>82090909</v>
      </c>
      <c r="U7" s="66">
        <f>ROUNDDOWN(U6/1.1,0)</f>
        <v>90300000</v>
      </c>
      <c r="V7" s="66">
        <f>ROUNDDOWN(V6/1.1,0)</f>
        <v>98509090</v>
      </c>
      <c r="W7" s="88"/>
    </row>
    <row r="8" spans="1:23" x14ac:dyDescent="0.2">
      <c r="B8" s="67" t="s">
        <v>64</v>
      </c>
      <c r="C8" s="68">
        <v>2000</v>
      </c>
      <c r="E8" s="58"/>
      <c r="F8" s="65" t="s">
        <v>73</v>
      </c>
      <c r="G8" s="66">
        <v>2000000</v>
      </c>
      <c r="H8" s="30">
        <f>G8+300000</f>
        <v>2300000</v>
      </c>
      <c r="I8" s="30">
        <f>H8+300000</f>
        <v>2600000</v>
      </c>
      <c r="J8" s="30">
        <f>I8+300000</f>
        <v>2900000</v>
      </c>
      <c r="K8" s="30">
        <f>J8+300000</f>
        <v>3200000</v>
      </c>
      <c r="L8" s="30">
        <f>K8+300000</f>
        <v>3500000</v>
      </c>
      <c r="M8" s="64"/>
      <c r="O8" s="58"/>
      <c r="P8" s="65" t="s">
        <v>73</v>
      </c>
      <c r="Q8" s="66">
        <v>2000000</v>
      </c>
      <c r="R8" s="30">
        <f>Q8+300000</f>
        <v>2300000</v>
      </c>
      <c r="S8" s="30">
        <f>R8+300000</f>
        <v>2600000</v>
      </c>
      <c r="T8" s="30">
        <f>S8+300000</f>
        <v>2900000</v>
      </c>
      <c r="U8" s="30">
        <f>T8+300000</f>
        <v>3200000</v>
      </c>
      <c r="V8" s="30">
        <f>U8+300000</f>
        <v>3500000</v>
      </c>
      <c r="W8" s="64"/>
    </row>
    <row r="9" spans="1:23" x14ac:dyDescent="0.2">
      <c r="B9" s="67" t="s">
        <v>67</v>
      </c>
      <c r="C9" s="68">
        <v>34000000</v>
      </c>
      <c r="E9" s="58"/>
      <c r="F9" s="65" t="s">
        <v>74</v>
      </c>
      <c r="G9" s="66">
        <f>G6+G8*1.1</f>
        <v>65410000</v>
      </c>
      <c r="H9" s="66">
        <f>H6+H8*1.1</f>
        <v>74770000</v>
      </c>
      <c r="I9" s="66">
        <f>I6+I8*1.1</f>
        <v>84130000</v>
      </c>
      <c r="J9" s="66">
        <f>J6+J8*1.1</f>
        <v>93490000</v>
      </c>
      <c r="K9" s="66">
        <f>K6+K8*1.1</f>
        <v>102850000</v>
      </c>
      <c r="L9" s="66">
        <f>L6+L8*1.1</f>
        <v>112210000</v>
      </c>
      <c r="M9" s="64"/>
      <c r="O9" s="58"/>
      <c r="P9" s="65" t="s">
        <v>74</v>
      </c>
      <c r="Q9" s="66">
        <f>Q6+Q8*1.1</f>
        <v>65410000</v>
      </c>
      <c r="R9" s="66">
        <f>R6+R8*1.1</f>
        <v>74770000</v>
      </c>
      <c r="S9" s="66">
        <f>S6+S8*1.1</f>
        <v>84130000</v>
      </c>
      <c r="T9" s="66">
        <f>T6+T8*1.1</f>
        <v>93490000</v>
      </c>
      <c r="U9" s="66">
        <f>U6+U8*1.1</f>
        <v>102850000</v>
      </c>
      <c r="V9" s="66">
        <f>V6+V8*1.1</f>
        <v>112210000</v>
      </c>
      <c r="W9" s="64"/>
    </row>
    <row r="10" spans="1:23" x14ac:dyDescent="0.2">
      <c r="B10" s="67" t="s">
        <v>65</v>
      </c>
      <c r="C10" s="68">
        <v>6000000</v>
      </c>
      <c r="E10" s="58"/>
      <c r="F10" s="28" t="s">
        <v>75</v>
      </c>
      <c r="G10" s="75">
        <f>G7+G8</f>
        <v>59463636</v>
      </c>
      <c r="H10" s="75">
        <f>H7+H8</f>
        <v>67972727</v>
      </c>
      <c r="I10" s="75">
        <f>I7+I8</f>
        <v>76481818</v>
      </c>
      <c r="J10" s="75">
        <f>J7+J8</f>
        <v>84990909</v>
      </c>
      <c r="K10" s="75">
        <f>K7+K8</f>
        <v>93500000</v>
      </c>
      <c r="L10" s="75">
        <f>L7+L8</f>
        <v>102009090</v>
      </c>
      <c r="M10" s="74"/>
      <c r="O10" s="58"/>
      <c r="P10" s="28" t="s">
        <v>75</v>
      </c>
      <c r="Q10" s="75">
        <f>Q7+Q8</f>
        <v>59463636</v>
      </c>
      <c r="R10" s="75">
        <f>R7+R8</f>
        <v>67972727</v>
      </c>
      <c r="S10" s="75">
        <f>S7+S8</f>
        <v>76481818</v>
      </c>
      <c r="T10" s="75">
        <f>T7+T8</f>
        <v>84990909</v>
      </c>
      <c r="U10" s="75">
        <f>U7+U8</f>
        <v>93500000</v>
      </c>
      <c r="V10" s="75">
        <f>V7+V8</f>
        <v>102009090</v>
      </c>
      <c r="W10" s="74"/>
    </row>
    <row r="11" spans="1:23" x14ac:dyDescent="0.2">
      <c r="B11" s="67" t="s">
        <v>66</v>
      </c>
      <c r="C11" s="68">
        <v>5000000</v>
      </c>
      <c r="E11" s="50" t="s">
        <v>9</v>
      </c>
      <c r="F11" s="65" t="s">
        <v>78</v>
      </c>
      <c r="G11" s="30">
        <f>$C$9+$C$10</f>
        <v>40000000</v>
      </c>
      <c r="H11" s="30">
        <f>$C$9+$C$10</f>
        <v>40000000</v>
      </c>
      <c r="I11" s="30">
        <f>$C$9+$C$10</f>
        <v>40000000</v>
      </c>
      <c r="J11" s="30">
        <f>$C$9+$C$10</f>
        <v>40000000</v>
      </c>
      <c r="K11" s="30">
        <f>$C$9+$C$10</f>
        <v>40000000</v>
      </c>
      <c r="L11" s="30">
        <f>$C$9+$C$10</f>
        <v>40000000</v>
      </c>
      <c r="M11" s="64"/>
      <c r="O11" s="50" t="s">
        <v>9</v>
      </c>
      <c r="P11" s="65" t="s">
        <v>78</v>
      </c>
      <c r="Q11" s="30">
        <f>IF(
    Q10&lt;$C$12,
    $C$9+$C$11,
    $C$9+$C$11+(Q10-$C$12)*$C$13)</f>
        <v>39000000</v>
      </c>
      <c r="R11" s="30">
        <f>IF(
    R10&lt;$C$12,
    $C$9+$C$11,
    $C$9+$C$11+(R10-$C$12)*$C$13)</f>
        <v>39000000</v>
      </c>
      <c r="S11" s="30">
        <f>IF(
    S10&lt;$C$12,
    $C$9+$C$11,
    $C$9+$C$11+(S10-$C$12)*$C$13)</f>
        <v>39000000</v>
      </c>
      <c r="T11" s="30">
        <f>IF(
    T10&lt;$C$12,
    $C$9+$C$11,
    $C$9+$C$11+(T10-$C$12)*$C$13)</f>
        <v>39000000</v>
      </c>
      <c r="U11" s="30">
        <f>IF(
    U10&lt;$C$12,
    $C$9+$C$11,
    $C$9+$C$11+(U10-$C$12)*$C$13)</f>
        <v>40700000</v>
      </c>
      <c r="V11" s="30">
        <f>IF(
    V10&lt;$C$12,
    $C$9+$C$11,
    $C$9+$C$11+(V10-$C$12)*$C$13)</f>
        <v>42401818</v>
      </c>
      <c r="W11" s="64"/>
    </row>
    <row r="12" spans="1:23" x14ac:dyDescent="0.2">
      <c r="B12" s="67" t="s">
        <v>118</v>
      </c>
      <c r="C12" s="68">
        <v>85000000</v>
      </c>
      <c r="E12" s="51"/>
      <c r="F12" s="65" t="s">
        <v>13</v>
      </c>
      <c r="G12" s="66">
        <f>G6*87%*1.15%</f>
        <v>632416.05000000005</v>
      </c>
      <c r="H12" s="66">
        <f>H6*87%*1.15%</f>
        <v>722761.2</v>
      </c>
      <c r="I12" s="66">
        <f>I6*87%*1.15%</f>
        <v>813106.35</v>
      </c>
      <c r="J12" s="66">
        <f>J6*87%*1.15%</f>
        <v>903451.5</v>
      </c>
      <c r="K12" s="66">
        <f>K6*87%*1.15%</f>
        <v>993796.65</v>
      </c>
      <c r="L12" s="66">
        <f>L6*87%*1.15%</f>
        <v>1084141.8</v>
      </c>
      <c r="M12" s="64" t="s">
        <v>80</v>
      </c>
      <c r="O12" s="51"/>
      <c r="P12" s="65" t="s">
        <v>13</v>
      </c>
      <c r="Q12" s="66">
        <f>Q6*87%*1.15%</f>
        <v>632416.05000000005</v>
      </c>
      <c r="R12" s="66">
        <f>R6*87%*1.15%</f>
        <v>722761.2</v>
      </c>
      <c r="S12" s="66">
        <f>S6*87%*1.15%</f>
        <v>813106.35</v>
      </c>
      <c r="T12" s="66">
        <f>T6*87%*1.15%</f>
        <v>903451.5</v>
      </c>
      <c r="U12" s="66">
        <f>U6*87%*1.15%</f>
        <v>993796.65</v>
      </c>
      <c r="V12" s="66">
        <f>V6*87%*1.15%</f>
        <v>1084141.8</v>
      </c>
      <c r="W12" s="64" t="s">
        <v>80</v>
      </c>
    </row>
    <row r="13" spans="1:23" x14ac:dyDescent="0.2">
      <c r="B13" s="67" t="s">
        <v>68</v>
      </c>
      <c r="C13" s="69">
        <v>0.2</v>
      </c>
      <c r="E13" s="51"/>
      <c r="F13" s="65" t="s">
        <v>11</v>
      </c>
      <c r="G13" s="30">
        <f>G5*$C$6*$C$8*30</f>
        <v>5880000</v>
      </c>
      <c r="H13" s="30">
        <f>H5*$C$6*$C$8*30</f>
        <v>6720000</v>
      </c>
      <c r="I13" s="30">
        <f>I5*$C$6*$C$8*30</f>
        <v>7560000</v>
      </c>
      <c r="J13" s="30">
        <f>J5*$C$6*$C$8*30</f>
        <v>8400000</v>
      </c>
      <c r="K13" s="30">
        <f>K5*$C$6*$C$8*30</f>
        <v>9240000</v>
      </c>
      <c r="L13" s="30">
        <f>L5*$C$6*$C$8*30</f>
        <v>10080000</v>
      </c>
      <c r="M13" s="64"/>
      <c r="O13" s="51"/>
      <c r="P13" s="65" t="s">
        <v>11</v>
      </c>
      <c r="Q13" s="30">
        <f>Q5*$C$6*$C$8*30</f>
        <v>5880000</v>
      </c>
      <c r="R13" s="30">
        <f>R5*$C$6*$C$8*30</f>
        <v>6720000</v>
      </c>
      <c r="S13" s="30">
        <f>S5*$C$6*$C$8*30</f>
        <v>7560000</v>
      </c>
      <c r="T13" s="30">
        <f>T5*$C$6*$C$8*30</f>
        <v>8400000</v>
      </c>
      <c r="U13" s="30">
        <f>U5*$C$6*$C$8*30</f>
        <v>9240000</v>
      </c>
      <c r="V13" s="30">
        <f>V5*$C$6*$C$8*30</f>
        <v>10080000</v>
      </c>
      <c r="W13" s="64"/>
    </row>
    <row r="14" spans="1:23" x14ac:dyDescent="0.2">
      <c r="E14" s="51"/>
      <c r="F14" s="65" t="s">
        <v>4</v>
      </c>
      <c r="G14" s="66">
        <f>ROUNDDOWN(AVERAGE('2026-03'!E21,'2026-04'!E21,'2026-05'!E21,'2026-06'!E21,'2026-07'!E21,'2026-08'!E21),0)</f>
        <v>4889621</v>
      </c>
      <c r="H14" s="66">
        <f>G14</f>
        <v>4889621</v>
      </c>
      <c r="I14" s="66">
        <f>H14</f>
        <v>4889621</v>
      </c>
      <c r="J14" s="66">
        <f>I14</f>
        <v>4889621</v>
      </c>
      <c r="K14" s="66">
        <f>J14</f>
        <v>4889621</v>
      </c>
      <c r="L14" s="66">
        <f>K14</f>
        <v>4889621</v>
      </c>
      <c r="M14" s="64" t="s">
        <v>79</v>
      </c>
      <c r="O14" s="51"/>
      <c r="P14" s="65" t="s">
        <v>4</v>
      </c>
      <c r="Q14" s="66">
        <f>ROUNDDOWN(AVERAGE('2026-03'!E21,'2026-04'!E21,'2026-05'!E21,'2026-06'!E21,'2026-07'!E21,'2026-08'!E21),0)</f>
        <v>4889621</v>
      </c>
      <c r="R14" s="66">
        <f>Q14</f>
        <v>4889621</v>
      </c>
      <c r="S14" s="66">
        <f>R14</f>
        <v>4889621</v>
      </c>
      <c r="T14" s="66">
        <f>S14</f>
        <v>4889621</v>
      </c>
      <c r="U14" s="66">
        <f>T14</f>
        <v>4889621</v>
      </c>
      <c r="V14" s="66">
        <f>U14</f>
        <v>4889621</v>
      </c>
      <c r="W14" s="64" t="s">
        <v>79</v>
      </c>
    </row>
    <row r="15" spans="1:23" x14ac:dyDescent="0.2">
      <c r="E15" s="51"/>
      <c r="F15" s="65" t="s">
        <v>81</v>
      </c>
      <c r="G15" s="66">
        <f>SUM('2026-07'!E22:E27,'2026-07'!E29:E31)+4000+15000+350000</f>
        <v>1939227</v>
      </c>
      <c r="H15" s="30">
        <f>G15</f>
        <v>1939227</v>
      </c>
      <c r="I15" s="30">
        <f>H15</f>
        <v>1939227</v>
      </c>
      <c r="J15" s="30">
        <f>I15</f>
        <v>1939227</v>
      </c>
      <c r="K15" s="30">
        <f>J15</f>
        <v>1939227</v>
      </c>
      <c r="L15" s="30">
        <f>K15</f>
        <v>1939227</v>
      </c>
      <c r="M15" s="64" t="s">
        <v>82</v>
      </c>
      <c r="O15" s="51"/>
      <c r="P15" s="65" t="s">
        <v>81</v>
      </c>
      <c r="Q15" s="66">
        <f>SUM('2026-07'!E22:E27,'2026-07'!E29:E31)+4000+15000+350000</f>
        <v>1939227</v>
      </c>
      <c r="R15" s="30">
        <f>Q15</f>
        <v>1939227</v>
      </c>
      <c r="S15" s="30">
        <f>R15</f>
        <v>1939227</v>
      </c>
      <c r="T15" s="30">
        <f>S15</f>
        <v>1939227</v>
      </c>
      <c r="U15" s="30">
        <f>T15</f>
        <v>1939227</v>
      </c>
      <c r="V15" s="30">
        <f>U15</f>
        <v>1939227</v>
      </c>
      <c r="W15" s="64" t="s">
        <v>82</v>
      </c>
    </row>
    <row r="16" spans="1:23" x14ac:dyDescent="0.2">
      <c r="E16" s="52"/>
      <c r="F16" s="27" t="s">
        <v>83</v>
      </c>
      <c r="G16" s="86">
        <f>SUM(G11:G15)</f>
        <v>53341264.049999997</v>
      </c>
      <c r="H16" s="86">
        <f>SUM(H11:H15)</f>
        <v>54271609.200000003</v>
      </c>
      <c r="I16" s="86">
        <f>SUM(I11:I15)</f>
        <v>55201954.350000001</v>
      </c>
      <c r="J16" s="86">
        <f>SUM(J11:J15)</f>
        <v>56132299.5</v>
      </c>
      <c r="K16" s="86">
        <f>SUM(K11:K15)</f>
        <v>57062644.649999999</v>
      </c>
      <c r="L16" s="86">
        <f>SUM(L11:L15)</f>
        <v>57992989.799999997</v>
      </c>
      <c r="M16" s="85"/>
      <c r="O16" s="52"/>
      <c r="P16" s="27" t="s">
        <v>83</v>
      </c>
      <c r="Q16" s="86">
        <f>SUM(Q11:Q15)</f>
        <v>52341264.049999997</v>
      </c>
      <c r="R16" s="86">
        <f>SUM(R11:R15)</f>
        <v>53271609.200000003</v>
      </c>
      <c r="S16" s="86">
        <f>SUM(S11:S15)</f>
        <v>54201954.350000001</v>
      </c>
      <c r="T16" s="86">
        <f>SUM(T11:T15)</f>
        <v>55132299.5</v>
      </c>
      <c r="U16" s="86">
        <f>SUM(U11:U15)</f>
        <v>57762644.649999999</v>
      </c>
      <c r="V16" s="86">
        <f>SUM(V11:V15)</f>
        <v>60394807.799999997</v>
      </c>
      <c r="W16" s="85"/>
    </row>
    <row r="17" spans="1:23" x14ac:dyDescent="0.2">
      <c r="E17" s="102" t="s">
        <v>84</v>
      </c>
      <c r="F17" s="65" t="s">
        <v>85</v>
      </c>
      <c r="G17" s="66">
        <f>$I$33</f>
        <v>11635911</v>
      </c>
      <c r="H17" s="66">
        <f>$I$33</f>
        <v>11635911</v>
      </c>
      <c r="I17" s="66">
        <f>$I$33</f>
        <v>11635911</v>
      </c>
      <c r="J17" s="66">
        <f>$I$33</f>
        <v>11635911</v>
      </c>
      <c r="K17" s="66">
        <f>$I$33</f>
        <v>11635911</v>
      </c>
      <c r="L17" s="66">
        <f>$I$33</f>
        <v>11635911</v>
      </c>
      <c r="M17" s="64"/>
      <c r="O17" s="102" t="s">
        <v>84</v>
      </c>
      <c r="P17" s="65" t="s">
        <v>85</v>
      </c>
      <c r="Q17" s="66">
        <f>$I$33</f>
        <v>11635911</v>
      </c>
      <c r="R17" s="66">
        <f>$I$33</f>
        <v>11635911</v>
      </c>
      <c r="S17" s="66">
        <f>$I$33</f>
        <v>11635911</v>
      </c>
      <c r="T17" s="66">
        <f>$I$33</f>
        <v>11635911</v>
      </c>
      <c r="U17" s="66">
        <f>$I$33</f>
        <v>11635911</v>
      </c>
      <c r="V17" s="66">
        <f>$I$33</f>
        <v>11635911</v>
      </c>
      <c r="W17" s="64"/>
    </row>
    <row r="18" spans="1:23" x14ac:dyDescent="0.2">
      <c r="E18" s="103"/>
      <c r="F18" s="65" t="s">
        <v>86</v>
      </c>
      <c r="G18" s="30">
        <f>$C$29</f>
        <v>4000000</v>
      </c>
      <c r="H18" s="30">
        <f>$C$29</f>
        <v>4000000</v>
      </c>
      <c r="I18" s="30">
        <f>$C$29</f>
        <v>4000000</v>
      </c>
      <c r="J18" s="30">
        <f>$C$29</f>
        <v>4000000</v>
      </c>
      <c r="K18" s="30">
        <f>$C$29</f>
        <v>4000000</v>
      </c>
      <c r="L18" s="30">
        <f>$C$29</f>
        <v>4000000</v>
      </c>
      <c r="M18" s="64"/>
      <c r="O18" s="103"/>
      <c r="P18" s="65" t="s">
        <v>86</v>
      </c>
      <c r="Q18" s="30">
        <f>$C$29</f>
        <v>4000000</v>
      </c>
      <c r="R18" s="30">
        <f>$C$29</f>
        <v>4000000</v>
      </c>
      <c r="S18" s="30">
        <f>$C$29</f>
        <v>4000000</v>
      </c>
      <c r="T18" s="30">
        <f>$C$29</f>
        <v>4000000</v>
      </c>
      <c r="U18" s="30">
        <f>$C$29</f>
        <v>4000000</v>
      </c>
      <c r="V18" s="30">
        <f>$C$29</f>
        <v>4000000</v>
      </c>
      <c r="W18" s="64"/>
    </row>
    <row r="19" spans="1:23" ht="17.25" thickBot="1" x14ac:dyDescent="0.25">
      <c r="E19" s="103"/>
      <c r="F19" s="112" t="s">
        <v>105</v>
      </c>
      <c r="G19" s="113">
        <f>SUM(G17:G18)</f>
        <v>15635911</v>
      </c>
      <c r="H19" s="113">
        <f>SUM(H17:H18)</f>
        <v>15635911</v>
      </c>
      <c r="I19" s="113">
        <f>SUM(I17:I18)</f>
        <v>15635911</v>
      </c>
      <c r="J19" s="113">
        <f>SUM(J17:J18)</f>
        <v>15635911</v>
      </c>
      <c r="K19" s="113">
        <f>SUM(K17:K18)</f>
        <v>15635911</v>
      </c>
      <c r="L19" s="113">
        <f>SUM(L17:L18)</f>
        <v>15635911</v>
      </c>
      <c r="M19" s="114"/>
      <c r="O19" s="103"/>
      <c r="P19" s="112" t="s">
        <v>105</v>
      </c>
      <c r="Q19" s="113">
        <f>SUM(Q17:Q18)</f>
        <v>15635911</v>
      </c>
      <c r="R19" s="113">
        <f>SUM(R17:R18)</f>
        <v>15635911</v>
      </c>
      <c r="S19" s="113">
        <f>SUM(S17:S18)</f>
        <v>15635911</v>
      </c>
      <c r="T19" s="113">
        <f>SUM(T17:T18)</f>
        <v>15635911</v>
      </c>
      <c r="U19" s="113">
        <f>SUM(U17:U18)</f>
        <v>15635911</v>
      </c>
      <c r="V19" s="113">
        <f>SUM(V17:V18)</f>
        <v>15635911</v>
      </c>
      <c r="W19" s="114"/>
    </row>
    <row r="20" spans="1:23" ht="17.25" thickTop="1" x14ac:dyDescent="0.2">
      <c r="E20" s="115" t="s">
        <v>106</v>
      </c>
      <c r="F20" s="116"/>
      <c r="G20" s="117">
        <f>G10-G16-G19</f>
        <v>-9513539.049999997</v>
      </c>
      <c r="H20" s="117">
        <f>H10-H16-H19</f>
        <v>-1934793.200000003</v>
      </c>
      <c r="I20" s="117">
        <f>I10-I16-I19</f>
        <v>5643952.6499999985</v>
      </c>
      <c r="J20" s="117">
        <f>J10-J16-J19</f>
        <v>13222698.5</v>
      </c>
      <c r="K20" s="117">
        <f>K10-K16-K19</f>
        <v>20801444.350000001</v>
      </c>
      <c r="L20" s="117">
        <f>L10-L16-L19</f>
        <v>28380189.200000003</v>
      </c>
      <c r="M20" s="118"/>
      <c r="O20" s="115" t="s">
        <v>106</v>
      </c>
      <c r="P20" s="116"/>
      <c r="Q20" s="117">
        <f>Q10-Q16-Q19</f>
        <v>-8513539.049999997</v>
      </c>
      <c r="R20" s="117">
        <f>R10-R16-R19</f>
        <v>-934793.20000000298</v>
      </c>
      <c r="S20" s="117">
        <f>S10-S16-S19</f>
        <v>6643952.6499999985</v>
      </c>
      <c r="T20" s="117">
        <f>T10-T16-T19</f>
        <v>14222698.5</v>
      </c>
      <c r="U20" s="117">
        <f>U10-U16-U19</f>
        <v>20101444.350000001</v>
      </c>
      <c r="V20" s="117">
        <f>V10-V16-V19</f>
        <v>25978371.200000003</v>
      </c>
      <c r="W20" s="118"/>
    </row>
    <row r="21" spans="1:23" x14ac:dyDescent="0.2">
      <c r="E21" s="108" t="s">
        <v>107</v>
      </c>
      <c r="F21" s="109"/>
      <c r="G21" s="110">
        <f>G11</f>
        <v>40000000</v>
      </c>
      <c r="H21" s="110">
        <f>H11</f>
        <v>40000000</v>
      </c>
      <c r="I21" s="110">
        <f>I11</f>
        <v>40000000</v>
      </c>
      <c r="J21" s="110">
        <f>J11</f>
        <v>40000000</v>
      </c>
      <c r="K21" s="110">
        <f>K11</f>
        <v>40000000</v>
      </c>
      <c r="L21" s="110">
        <f>L11</f>
        <v>40000000</v>
      </c>
      <c r="M21" s="111"/>
      <c r="O21" s="108" t="s">
        <v>107</v>
      </c>
      <c r="P21" s="109"/>
      <c r="Q21" s="110">
        <f>Q11</f>
        <v>39000000</v>
      </c>
      <c r="R21" s="110">
        <f>R11</f>
        <v>39000000</v>
      </c>
      <c r="S21" s="110">
        <f>S11</f>
        <v>39000000</v>
      </c>
      <c r="T21" s="110">
        <f>T11</f>
        <v>39000000</v>
      </c>
      <c r="U21" s="110">
        <f>U11</f>
        <v>40700000</v>
      </c>
      <c r="V21" s="110">
        <f>V11</f>
        <v>42401818</v>
      </c>
      <c r="W21" s="111"/>
    </row>
    <row r="25" spans="1:23" x14ac:dyDescent="0.2">
      <c r="B25" s="4" t="s">
        <v>103</v>
      </c>
      <c r="E25" s="4" t="s">
        <v>101</v>
      </c>
      <c r="O25" s="4" t="s">
        <v>110</v>
      </c>
    </row>
    <row r="26" spans="1:23" ht="6" customHeight="1" x14ac:dyDescent="0.2">
      <c r="A26"/>
      <c r="E26" s="4"/>
      <c r="H26" s="1"/>
      <c r="I26" s="89"/>
    </row>
    <row r="27" spans="1:23" ht="17.25" thickBot="1" x14ac:dyDescent="0.25">
      <c r="B27" s="91" t="s">
        <v>0</v>
      </c>
      <c r="C27" s="90" t="s">
        <v>69</v>
      </c>
      <c r="E27" s="90" t="s">
        <v>0</v>
      </c>
      <c r="F27" s="90" t="s">
        <v>92</v>
      </c>
      <c r="G27" s="90" t="s">
        <v>91</v>
      </c>
      <c r="H27" s="90" t="s">
        <v>90</v>
      </c>
      <c r="I27" s="90" t="s">
        <v>94</v>
      </c>
      <c r="J27" s="90" t="s">
        <v>99</v>
      </c>
      <c r="K27" s="90" t="s">
        <v>98</v>
      </c>
      <c r="O27" s="91" t="s">
        <v>0</v>
      </c>
      <c r="P27" s="90" t="s">
        <v>112</v>
      </c>
      <c r="Q27" s="90" t="s">
        <v>113</v>
      </c>
      <c r="R27" s="90" t="s">
        <v>97</v>
      </c>
      <c r="S27" s="90" t="s">
        <v>116</v>
      </c>
    </row>
    <row r="28" spans="1:23" x14ac:dyDescent="0.2">
      <c r="B28" s="94" t="s">
        <v>88</v>
      </c>
      <c r="C28" s="99">
        <v>13000</v>
      </c>
      <c r="E28" s="95" t="s">
        <v>95</v>
      </c>
      <c r="F28" s="96" t="s">
        <v>89</v>
      </c>
      <c r="G28" s="96">
        <v>8</v>
      </c>
      <c r="H28" s="96">
        <v>1</v>
      </c>
      <c r="I28" s="97">
        <f>$C$28*G28*5*H28*4.345</f>
        <v>2259400</v>
      </c>
      <c r="J28" s="98">
        <f>I28*10%</f>
        <v>225940</v>
      </c>
      <c r="K28" s="97">
        <f>ROUNDUP(I28/12,0)</f>
        <v>188284</v>
      </c>
      <c r="O28" s="120" t="s">
        <v>111</v>
      </c>
      <c r="P28" s="121">
        <v>10000000</v>
      </c>
      <c r="Q28" s="96">
        <v>14</v>
      </c>
      <c r="R28" s="123">
        <f>P28*Q28</f>
        <v>140000000</v>
      </c>
      <c r="S28" s="97">
        <f>ROUNDUP(R28/36,0)</f>
        <v>3888889</v>
      </c>
    </row>
    <row r="29" spans="1:23" x14ac:dyDescent="0.2">
      <c r="B29" s="67" t="s">
        <v>104</v>
      </c>
      <c r="C29" s="68">
        <v>4000000</v>
      </c>
      <c r="E29" s="83"/>
      <c r="F29" s="65" t="s">
        <v>93</v>
      </c>
      <c r="G29" s="65">
        <v>8</v>
      </c>
      <c r="H29" s="65">
        <v>2</v>
      </c>
      <c r="I29" s="66">
        <f>$C$28*G29*5*H29*4.345</f>
        <v>4518800</v>
      </c>
      <c r="J29" s="30">
        <f>I29*10%</f>
        <v>451880</v>
      </c>
      <c r="K29" s="66">
        <f>ROUNDUP(I29/12,0)</f>
        <v>376567</v>
      </c>
      <c r="O29" s="119" t="s">
        <v>114</v>
      </c>
      <c r="P29" s="122">
        <v>4000000</v>
      </c>
      <c r="Q29" s="65">
        <v>2</v>
      </c>
      <c r="R29" s="124">
        <f>P29*Q29</f>
        <v>8000000</v>
      </c>
      <c r="S29" s="66">
        <f>ROUNDUP(R29/36,0)</f>
        <v>222223</v>
      </c>
    </row>
    <row r="30" spans="1:23" x14ac:dyDescent="0.2">
      <c r="E30" s="83" t="s">
        <v>96</v>
      </c>
      <c r="F30" s="65" t="s">
        <v>89</v>
      </c>
      <c r="G30" s="65">
        <v>8</v>
      </c>
      <c r="H30" s="65">
        <v>2</v>
      </c>
      <c r="I30" s="66">
        <f>$C$28*G30*2*H30*4.345</f>
        <v>1807520</v>
      </c>
      <c r="J30" s="65" t="s">
        <v>100</v>
      </c>
      <c r="K30" s="65" t="s">
        <v>100</v>
      </c>
      <c r="O30" s="119" t="s">
        <v>115</v>
      </c>
      <c r="P30" s="122">
        <v>4000000</v>
      </c>
      <c r="Q30" s="65">
        <v>6</v>
      </c>
      <c r="R30" s="124">
        <f>P30*Q30</f>
        <v>24000000</v>
      </c>
      <c r="S30" s="66">
        <f>ROUNDUP(R30/36,0)</f>
        <v>666667</v>
      </c>
    </row>
    <row r="31" spans="1:23" ht="17.25" thickBot="1" x14ac:dyDescent="0.25">
      <c r="E31" s="84"/>
      <c r="F31" s="100" t="s">
        <v>93</v>
      </c>
      <c r="G31" s="100">
        <v>8</v>
      </c>
      <c r="H31" s="100">
        <v>2</v>
      </c>
      <c r="I31" s="125">
        <f>$C$28*G31*2*H31*4.345</f>
        <v>1807520</v>
      </c>
      <c r="J31" s="100" t="s">
        <v>100</v>
      </c>
      <c r="K31" s="100" t="s">
        <v>100</v>
      </c>
      <c r="O31" s="101" t="s">
        <v>117</v>
      </c>
      <c r="P31" s="135">
        <v>700000</v>
      </c>
      <c r="Q31" s="100">
        <v>6</v>
      </c>
      <c r="R31" s="137">
        <f>P31*Q31</f>
        <v>4200000</v>
      </c>
      <c r="S31" s="125">
        <f>ROUNDUP(R31/36,0)</f>
        <v>116667</v>
      </c>
    </row>
    <row r="32" spans="1:23" ht="17.25" thickTop="1" x14ac:dyDescent="0.2">
      <c r="E32" s="126" t="s">
        <v>97</v>
      </c>
      <c r="F32" s="127"/>
      <c r="G32" s="128"/>
      <c r="H32" s="129">
        <f>SUM(H28:H31)</f>
        <v>7</v>
      </c>
      <c r="I32" s="130">
        <f>SUM(I28:I31)</f>
        <v>10393240</v>
      </c>
      <c r="J32" s="130">
        <f>SUM(J28:J31)</f>
        <v>677820</v>
      </c>
      <c r="K32" s="130">
        <f>SUM(K28:K31)</f>
        <v>564851</v>
      </c>
      <c r="O32" s="126" t="s">
        <v>97</v>
      </c>
      <c r="P32" s="127"/>
      <c r="Q32" s="128"/>
      <c r="R32" s="138">
        <f>SUM(R28:R31)</f>
        <v>176200000</v>
      </c>
      <c r="S32" s="138">
        <f>SUM(S28:S31)</f>
        <v>4894446</v>
      </c>
    </row>
    <row r="33" spans="5:19" x14ac:dyDescent="0.2">
      <c r="E33" s="131"/>
      <c r="F33" s="132"/>
      <c r="G33" s="133"/>
      <c r="H33" s="134"/>
      <c r="I33" s="105">
        <f>SUM(I32:K32)</f>
        <v>11635911</v>
      </c>
      <c r="J33" s="106"/>
      <c r="K33" s="107"/>
      <c r="O33" s="57" t="s">
        <v>119</v>
      </c>
      <c r="P33" s="57"/>
      <c r="Q33" s="57"/>
      <c r="R33" s="136">
        <f>R32+R32*5%*3</f>
        <v>202630000</v>
      </c>
      <c r="S33" s="136">
        <f>S32+S32*5%*3</f>
        <v>5628612.9000000004</v>
      </c>
    </row>
  </sheetData>
  <mergeCells count="29">
    <mergeCell ref="O32:Q32"/>
    <mergeCell ref="O33:Q33"/>
    <mergeCell ref="O11:O16"/>
    <mergeCell ref="O17:O19"/>
    <mergeCell ref="O20:P20"/>
    <mergeCell ref="O21:P21"/>
    <mergeCell ref="O4:O5"/>
    <mergeCell ref="P4:P5"/>
    <mergeCell ref="Q4:V4"/>
    <mergeCell ref="W4:W5"/>
    <mergeCell ref="O6:O10"/>
    <mergeCell ref="W6:W7"/>
    <mergeCell ref="E20:F20"/>
    <mergeCell ref="E21:F21"/>
    <mergeCell ref="I33:K33"/>
    <mergeCell ref="E32:G33"/>
    <mergeCell ref="H32:H33"/>
    <mergeCell ref="M6:M7"/>
    <mergeCell ref="E28:E29"/>
    <mergeCell ref="E30:E31"/>
    <mergeCell ref="B4:B5"/>
    <mergeCell ref="C4:C5"/>
    <mergeCell ref="E17:E19"/>
    <mergeCell ref="E6:E10"/>
    <mergeCell ref="G4:L4"/>
    <mergeCell ref="E4:E5"/>
    <mergeCell ref="F4:F5"/>
    <mergeCell ref="M4:M5"/>
    <mergeCell ref="E11:E1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36C2-695B-4D7E-983C-BE229B959F37}">
  <sheetPr>
    <tabColor theme="1"/>
    <pageSetUpPr fitToPage="1"/>
  </sheetPr>
  <dimension ref="A2:F42"/>
  <sheetViews>
    <sheetView showGridLines="0" zoomScaleNormal="100" zoomScaleSheetLayoutView="100" workbookViewId="0">
      <selection activeCell="J16" sqref="J16"/>
    </sheetView>
  </sheetViews>
  <sheetFormatPr defaultRowHeight="17.25" x14ac:dyDescent="0.2"/>
  <cols>
    <col min="1" max="1" width="2.28515625" style="6" bestFit="1" customWidth="1"/>
    <col min="2" max="2" width="11" bestFit="1" customWidth="1"/>
    <col min="3" max="3" width="6.85546875" bestFit="1" customWidth="1"/>
    <col min="4" max="4" width="16.140625" bestFit="1" customWidth="1"/>
    <col min="5" max="5" width="14.5703125" bestFit="1" customWidth="1"/>
    <col min="6" max="6" width="55.7109375" customWidth="1"/>
  </cols>
  <sheetData>
    <row r="2" spans="1:6" ht="31.5" x14ac:dyDescent="0.2">
      <c r="A2" s="6" t="s">
        <v>3</v>
      </c>
      <c r="B2" s="61" t="s">
        <v>27</v>
      </c>
      <c r="C2" s="61"/>
      <c r="D2" s="61"/>
      <c r="E2" s="61"/>
      <c r="F2" s="61"/>
    </row>
    <row r="3" spans="1:6" ht="14.25" customHeight="1" x14ac:dyDescent="0.2">
      <c r="B3" s="14"/>
      <c r="C3" s="14"/>
      <c r="D3" s="14"/>
      <c r="E3" s="14"/>
      <c r="F3" s="14"/>
    </row>
    <row r="4" spans="1:6" ht="12" customHeight="1" x14ac:dyDescent="0.2">
      <c r="A4" s="10"/>
      <c r="B4" s="23" t="s">
        <v>25</v>
      </c>
      <c r="C4" s="62">
        <v>46235</v>
      </c>
      <c r="D4" s="62"/>
      <c r="E4" s="24"/>
      <c r="F4" s="24"/>
    </row>
    <row r="5" spans="1:6" ht="12" customHeight="1" x14ac:dyDescent="0.2">
      <c r="A5" s="10"/>
      <c r="B5" s="23" t="s">
        <v>26</v>
      </c>
      <c r="C5" s="63">
        <v>46268</v>
      </c>
      <c r="D5" s="63"/>
      <c r="E5" s="24"/>
      <c r="F5" s="24"/>
    </row>
    <row r="6" spans="1:6" x14ac:dyDescent="0.2">
      <c r="B6" s="12"/>
      <c r="C6" s="12"/>
      <c r="D6" s="12"/>
      <c r="E6" s="11"/>
      <c r="F6" s="11"/>
    </row>
    <row r="7" spans="1:6" ht="17.25" customHeight="1" x14ac:dyDescent="0.2">
      <c r="B7" s="56" t="str">
        <f>IF(
    E37&gt;0,
    "당사 간 체결한 위탁운영 계약에 따라 "&amp;TEXT(C4,"YYYY년 MM월")&amp;" 정산기준월의 용역비를 아래와 같이 정산합니다."&amp;CHAR(10)&amp;
    "확정된 용역비 "&amp;TEXT(E37,"#,##0")&amp;"원(VAT 별도)에 대한 세금계산서를 당사로 발행하여 주시기 바랍니다.",
    "당사 간 체결한 위탁운영 계약에 따라 "&amp;TEXT(C4,"YYYY년 MM월")&amp;" 정산기준월의 용역비를 아래와 같이 정산합니다."&amp;CHAR(10)&amp;
    "공제 후 잔액 부족으로 발생한 부족액 "&amp;TEXT(ABS(E37),"#,##0")&amp;"원(VAT 별도)에 대하여 당사에서 세금계산서를 발행할 예정이오니,"&amp;CHAR(10)&amp;
    "정산일에 맞추어 당사 계좌로 입금하여 주시기 바랍니다.")</f>
        <v>당사 간 체결한 위탁운영 계약에 따라 2026년 08월 정산기준월의 용역비를 아래와 같이 정산합니다.
확정된 용역비 34,980,988원(VAT 별도)에 대한 세금계산서를 당사로 발행하여 주시기 바랍니다.</v>
      </c>
      <c r="C7" s="56"/>
      <c r="D7" s="56"/>
      <c r="E7" s="56"/>
      <c r="F7" s="56"/>
    </row>
    <row r="8" spans="1:6" x14ac:dyDescent="0.2">
      <c r="B8" s="56"/>
      <c r="C8" s="56"/>
      <c r="D8" s="56"/>
      <c r="E8" s="56"/>
      <c r="F8" s="56"/>
    </row>
    <row r="9" spans="1:6" x14ac:dyDescent="0.2">
      <c r="B9" s="56"/>
      <c r="C9" s="56"/>
      <c r="D9" s="56"/>
      <c r="E9" s="56"/>
      <c r="F9" s="56"/>
    </row>
    <row r="10" spans="1:6" x14ac:dyDescent="0.2">
      <c r="B10" s="12"/>
      <c r="E10" s="1"/>
      <c r="F10" s="13" t="s">
        <v>43</v>
      </c>
    </row>
    <row r="11" spans="1:6" ht="20.25" x14ac:dyDescent="0.2">
      <c r="A11" s="8"/>
      <c r="B11" s="3" t="s">
        <v>0</v>
      </c>
      <c r="C11" s="57" t="s">
        <v>1</v>
      </c>
      <c r="D11" s="57"/>
      <c r="E11" s="7" t="s">
        <v>23</v>
      </c>
      <c r="F11" s="3" t="s">
        <v>2</v>
      </c>
    </row>
    <row r="12" spans="1:6" ht="43.5" customHeight="1" x14ac:dyDescent="0.2">
      <c r="A12" s="8"/>
      <c r="B12" s="58" t="s">
        <v>8</v>
      </c>
      <c r="C12" s="59" t="s">
        <v>45</v>
      </c>
      <c r="D12" s="59"/>
      <c r="E12" s="31">
        <v>94264850</v>
      </c>
      <c r="F12" s="15" t="s">
        <v>54</v>
      </c>
    </row>
    <row r="13" spans="1:6" ht="31.5" customHeight="1" x14ac:dyDescent="0.2">
      <c r="A13" s="8"/>
      <c r="B13" s="58"/>
      <c r="C13" s="59" t="s">
        <v>40</v>
      </c>
      <c r="D13" s="59"/>
      <c r="E13" s="31">
        <v>96662</v>
      </c>
      <c r="F13" s="15" t="s">
        <v>58</v>
      </c>
    </row>
    <row r="14" spans="1:6" ht="20.25" x14ac:dyDescent="0.2">
      <c r="A14" s="8"/>
      <c r="B14" s="58"/>
      <c r="C14" s="60" t="s">
        <v>46</v>
      </c>
      <c r="D14" s="60"/>
      <c r="E14" s="32">
        <f>E12-E13</f>
        <v>94168188</v>
      </c>
      <c r="F14" s="20"/>
    </row>
    <row r="15" spans="1:6" ht="20.25" x14ac:dyDescent="0.2">
      <c r="A15" s="8"/>
      <c r="B15" s="58"/>
      <c r="C15" s="58" t="s">
        <v>8</v>
      </c>
      <c r="D15" s="58"/>
      <c r="E15" s="33">
        <f>ROUNDDOWN(E14/1.1,0)</f>
        <v>85607443</v>
      </c>
      <c r="F15" s="21" t="s">
        <v>47</v>
      </c>
    </row>
    <row r="16" spans="1:6" ht="20.25" x14ac:dyDescent="0.2">
      <c r="A16" s="8"/>
      <c r="B16" s="50" t="s">
        <v>9</v>
      </c>
      <c r="C16" s="48" t="s">
        <v>10</v>
      </c>
      <c r="D16" s="48"/>
      <c r="E16" s="34">
        <v>32000000</v>
      </c>
      <c r="F16" s="17" t="s">
        <v>59</v>
      </c>
    </row>
    <row r="17" spans="1:6" ht="20.25" x14ac:dyDescent="0.2">
      <c r="A17" s="8"/>
      <c r="B17" s="51"/>
      <c r="C17" s="48" t="s">
        <v>13</v>
      </c>
      <c r="D17" s="48"/>
      <c r="E17" s="34">
        <v>954878</v>
      </c>
      <c r="F17" s="22" t="s">
        <v>55</v>
      </c>
    </row>
    <row r="18" spans="1:6" ht="20.25" x14ac:dyDescent="0.2">
      <c r="A18" s="8"/>
      <c r="B18" s="51"/>
      <c r="C18" s="53" t="s">
        <v>52</v>
      </c>
      <c r="D18" s="54"/>
      <c r="E18" s="35">
        <v>80959</v>
      </c>
      <c r="F18" s="29" t="s">
        <v>56</v>
      </c>
    </row>
    <row r="19" spans="1:6" ht="20.25" x14ac:dyDescent="0.2">
      <c r="A19" s="8"/>
      <c r="B19" s="51"/>
      <c r="C19" s="53" t="s">
        <v>48</v>
      </c>
      <c r="D19" s="54"/>
      <c r="E19" s="35">
        <v>0</v>
      </c>
      <c r="F19" s="29" t="s">
        <v>49</v>
      </c>
    </row>
    <row r="20" spans="1:6" ht="20.25" x14ac:dyDescent="0.2">
      <c r="A20" s="8"/>
      <c r="B20" s="51"/>
      <c r="C20" s="55" t="s">
        <v>11</v>
      </c>
      <c r="D20" s="55"/>
      <c r="E20" s="34">
        <v>8986601</v>
      </c>
      <c r="F20" s="17" t="s">
        <v>53</v>
      </c>
    </row>
    <row r="21" spans="1:6" ht="20.25" x14ac:dyDescent="0.2">
      <c r="A21" s="8"/>
      <c r="B21" s="51"/>
      <c r="C21" s="48" t="s">
        <v>4</v>
      </c>
      <c r="D21" s="48"/>
      <c r="E21" s="34">
        <v>6761250</v>
      </c>
      <c r="F21" s="16" t="str">
        <f>TEXT(EDATE(C4,-1),"yyyy년 m월")&amp;"분"</f>
        <v>2026년 7월분</v>
      </c>
    </row>
    <row r="22" spans="1:6" ht="13.5" x14ac:dyDescent="0.2">
      <c r="A22" s="5"/>
      <c r="B22" s="51"/>
      <c r="C22" s="49" t="s">
        <v>12</v>
      </c>
      <c r="D22" s="9" t="s">
        <v>6</v>
      </c>
      <c r="E22" s="36">
        <v>549734</v>
      </c>
      <c r="F22" s="18" t="s">
        <v>30</v>
      </c>
    </row>
    <row r="23" spans="1:6" ht="13.5" customHeight="1" x14ac:dyDescent="0.2">
      <c r="A23" s="5"/>
      <c r="B23" s="51"/>
      <c r="C23" s="49"/>
      <c r="D23" s="9" t="s">
        <v>7</v>
      </c>
      <c r="E23" s="36">
        <v>187216</v>
      </c>
      <c r="F23" s="18" t="s">
        <v>31</v>
      </c>
    </row>
    <row r="24" spans="1:6" ht="13.5" x14ac:dyDescent="0.2">
      <c r="A24" s="5"/>
      <c r="B24" s="51"/>
      <c r="C24" s="49"/>
      <c r="D24" s="9" t="s">
        <v>57</v>
      </c>
      <c r="E24" s="36">
        <v>420000</v>
      </c>
      <c r="F24" s="18" t="s">
        <v>32</v>
      </c>
    </row>
    <row r="25" spans="1:6" ht="13.5" x14ac:dyDescent="0.2">
      <c r="A25" s="5"/>
      <c r="B25" s="51"/>
      <c r="C25" s="49"/>
      <c r="D25" s="9" t="s">
        <v>16</v>
      </c>
      <c r="E25" s="36">
        <v>15000</v>
      </c>
      <c r="F25" s="18" t="s">
        <v>33</v>
      </c>
    </row>
    <row r="26" spans="1:6" ht="13.5" customHeight="1" x14ac:dyDescent="0.2">
      <c r="A26" s="5"/>
      <c r="B26" s="51"/>
      <c r="C26" s="49"/>
      <c r="D26" s="9" t="s">
        <v>17</v>
      </c>
      <c r="E26" s="36">
        <v>42000</v>
      </c>
      <c r="F26" s="18" t="s">
        <v>34</v>
      </c>
    </row>
    <row r="27" spans="1:6" ht="13.5" customHeight="1" x14ac:dyDescent="0.2">
      <c r="A27" s="5"/>
      <c r="B27" s="51"/>
      <c r="C27" s="49"/>
      <c r="D27" s="9" t="s">
        <v>5</v>
      </c>
      <c r="E27" s="36">
        <v>581</v>
      </c>
      <c r="F27" s="18" t="s">
        <v>62</v>
      </c>
    </row>
    <row r="28" spans="1:6" ht="13.5" customHeight="1" x14ac:dyDescent="0.2">
      <c r="A28" s="5"/>
      <c r="B28" s="51"/>
      <c r="C28" s="49"/>
      <c r="D28" s="9" t="s">
        <v>60</v>
      </c>
      <c r="E28" s="36">
        <v>4000</v>
      </c>
      <c r="F28" s="18" t="s">
        <v>61</v>
      </c>
    </row>
    <row r="29" spans="1:6" ht="13.5" customHeight="1" x14ac:dyDescent="0.2">
      <c r="A29" s="5"/>
      <c r="B29" s="51"/>
      <c r="C29" s="49"/>
      <c r="D29" s="9" t="s">
        <v>18</v>
      </c>
      <c r="E29" s="36">
        <v>16209</v>
      </c>
      <c r="F29" s="18" t="s">
        <v>39</v>
      </c>
    </row>
    <row r="30" spans="1:6" ht="13.5" customHeight="1" x14ac:dyDescent="0.2">
      <c r="A30" s="5"/>
      <c r="B30" s="51"/>
      <c r="C30" s="49"/>
      <c r="D30" s="9" t="s">
        <v>19</v>
      </c>
      <c r="E30" s="36">
        <v>104093</v>
      </c>
      <c r="F30" s="18" t="s">
        <v>36</v>
      </c>
    </row>
    <row r="31" spans="1:6" ht="13.5" x14ac:dyDescent="0.2">
      <c r="A31" s="5"/>
      <c r="B31" s="51"/>
      <c r="C31" s="49"/>
      <c r="D31" s="9" t="s">
        <v>20</v>
      </c>
      <c r="E31" s="36">
        <v>130184</v>
      </c>
      <c r="F31" s="18" t="s">
        <v>37</v>
      </c>
    </row>
    <row r="32" spans="1:6" ht="13.5" customHeight="1" x14ac:dyDescent="0.2">
      <c r="A32" s="5"/>
      <c r="B32" s="51"/>
      <c r="C32" s="49"/>
      <c r="D32" s="9" t="s">
        <v>21</v>
      </c>
      <c r="E32" s="36">
        <v>25000</v>
      </c>
      <c r="F32" s="18" t="s">
        <v>38</v>
      </c>
    </row>
    <row r="33" spans="1:6" ht="13.5" customHeight="1" x14ac:dyDescent="0.2">
      <c r="A33" s="5"/>
      <c r="B33" s="51"/>
      <c r="C33" s="49"/>
      <c r="D33" s="9" t="s">
        <v>41</v>
      </c>
      <c r="E33" s="36">
        <v>348750</v>
      </c>
      <c r="F33" s="18" t="s">
        <v>42</v>
      </c>
    </row>
    <row r="34" spans="1:6" ht="13.5" customHeight="1" x14ac:dyDescent="0.2">
      <c r="A34" s="5"/>
      <c r="B34" s="51"/>
      <c r="C34" s="49"/>
      <c r="D34" s="9"/>
      <c r="E34" s="36"/>
      <c r="F34" s="18"/>
    </row>
    <row r="35" spans="1:6" ht="20.25" x14ac:dyDescent="0.2">
      <c r="A35" s="8"/>
      <c r="B35" s="52"/>
      <c r="C35" s="49"/>
      <c r="D35" s="2" t="s">
        <v>22</v>
      </c>
      <c r="E35" s="37">
        <f>SUM(E22:E34)</f>
        <v>1842767</v>
      </c>
      <c r="F35" s="19"/>
    </row>
    <row r="36" spans="1:6" ht="21" thickBot="1" x14ac:dyDescent="0.25">
      <c r="A36" s="8"/>
      <c r="B36" s="41" t="s">
        <v>14</v>
      </c>
      <c r="C36" s="42"/>
      <c r="D36" s="43"/>
      <c r="E36" s="38">
        <f>SUM(E16:E21,E35)</f>
        <v>50626455</v>
      </c>
      <c r="F36" s="25"/>
    </row>
    <row r="37" spans="1:6" ht="21" thickBot="1" x14ac:dyDescent="0.25">
      <c r="A37" s="8"/>
      <c r="B37" s="44" t="str">
        <f>IF(
    E37&gt;0,
    "용역비","부족액")</f>
        <v>용역비</v>
      </c>
      <c r="C37" s="45"/>
      <c r="D37" s="46"/>
      <c r="E37" s="39">
        <f>E15-E36</f>
        <v>34980988</v>
      </c>
      <c r="F37" s="26" t="s">
        <v>28</v>
      </c>
    </row>
    <row r="38" spans="1:6" ht="14.25" customHeight="1" x14ac:dyDescent="0.2">
      <c r="A38" s="8"/>
    </row>
    <row r="39" spans="1:6" ht="40.5" customHeight="1" x14ac:dyDescent="0.2">
      <c r="B39" s="47" t="s">
        <v>29</v>
      </c>
      <c r="C39" s="47"/>
      <c r="D39" s="47"/>
      <c r="E39" s="47"/>
      <c r="F39" s="47"/>
    </row>
    <row r="42" spans="1:6" x14ac:dyDescent="0.2">
      <c r="F42" s="40"/>
    </row>
  </sheetData>
  <mergeCells count="21">
    <mergeCell ref="B2:F2"/>
    <mergeCell ref="C4:D4"/>
    <mergeCell ref="C5:D5"/>
    <mergeCell ref="B7:F9"/>
    <mergeCell ref="C11:D11"/>
    <mergeCell ref="B12:B15"/>
    <mergeCell ref="C12:D12"/>
    <mergeCell ref="C13:D13"/>
    <mergeCell ref="C14:D14"/>
    <mergeCell ref="C15:D15"/>
    <mergeCell ref="B16:B35"/>
    <mergeCell ref="C16:D16"/>
    <mergeCell ref="C17:D17"/>
    <mergeCell ref="C18:D18"/>
    <mergeCell ref="C19:D19"/>
    <mergeCell ref="C20:D20"/>
    <mergeCell ref="B36:D36"/>
    <mergeCell ref="B37:D37"/>
    <mergeCell ref="B39:F39"/>
    <mergeCell ref="C21:D21"/>
    <mergeCell ref="C22:C3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188A-1C5F-445F-8538-D9F1302F6BAA}">
  <sheetPr>
    <tabColor theme="1"/>
    <pageSetUpPr fitToPage="1"/>
  </sheetPr>
  <dimension ref="A2:F42"/>
  <sheetViews>
    <sheetView showGridLines="0" zoomScaleNormal="100" zoomScaleSheetLayoutView="100" workbookViewId="0">
      <selection activeCell="J16" sqref="J16"/>
    </sheetView>
  </sheetViews>
  <sheetFormatPr defaultRowHeight="17.25" x14ac:dyDescent="0.2"/>
  <cols>
    <col min="1" max="1" width="2.28515625" style="6" bestFit="1" customWidth="1"/>
    <col min="2" max="2" width="11" bestFit="1" customWidth="1"/>
    <col min="3" max="3" width="6.85546875" bestFit="1" customWidth="1"/>
    <col min="4" max="4" width="16.140625" bestFit="1" customWidth="1"/>
    <col min="5" max="5" width="14.5703125" bestFit="1" customWidth="1"/>
    <col min="6" max="6" width="55.7109375" customWidth="1"/>
  </cols>
  <sheetData>
    <row r="2" spans="1:6" ht="31.5" x14ac:dyDescent="0.2">
      <c r="A2" s="6" t="s">
        <v>3</v>
      </c>
      <c r="B2" s="61" t="s">
        <v>27</v>
      </c>
      <c r="C2" s="61"/>
      <c r="D2" s="61"/>
      <c r="E2" s="61"/>
      <c r="F2" s="61"/>
    </row>
    <row r="3" spans="1:6" ht="14.25" customHeight="1" x14ac:dyDescent="0.2">
      <c r="B3" s="14"/>
      <c r="C3" s="14"/>
      <c r="D3" s="14"/>
      <c r="E3" s="14"/>
      <c r="F3" s="14"/>
    </row>
    <row r="4" spans="1:6" ht="12" customHeight="1" x14ac:dyDescent="0.2">
      <c r="A4" s="10"/>
      <c r="B4" s="23" t="s">
        <v>25</v>
      </c>
      <c r="C4" s="62">
        <v>46204</v>
      </c>
      <c r="D4" s="62"/>
      <c r="E4" s="24"/>
      <c r="F4" s="24"/>
    </row>
    <row r="5" spans="1:6" ht="12" customHeight="1" x14ac:dyDescent="0.2">
      <c r="A5" s="10"/>
      <c r="B5" s="23" t="s">
        <v>26</v>
      </c>
      <c r="C5" s="63">
        <v>46238</v>
      </c>
      <c r="D5" s="63"/>
      <c r="E5" s="24"/>
      <c r="F5" s="24"/>
    </row>
    <row r="6" spans="1:6" x14ac:dyDescent="0.2">
      <c r="B6" s="12"/>
      <c r="C6" s="12"/>
      <c r="D6" s="12"/>
      <c r="E6" s="11"/>
      <c r="F6" s="11"/>
    </row>
    <row r="7" spans="1:6" ht="17.25" customHeight="1" x14ac:dyDescent="0.2">
      <c r="B7" s="56" t="str">
        <f>IF(
    E37&gt;0,
    "당사 간 체결한 위탁운영 계약에 따라 "&amp;TEXT(C4,"YYYY년 MM월")&amp;" 정산기준월의 용역비를 아래와 같이 정산합니다."&amp;CHAR(10)&amp;
    "확정된 용역비 "&amp;TEXT(E37,"#,##0")&amp;"원(VAT 별도)에 대한 세금계산서를 당사로 발행하여 주시기 바랍니다.",
    "당사 간 체결한 위탁운영 계약에 따라 "&amp;TEXT(C4,"YYYY년 MM월")&amp;" 정산기준월의 용역비를 아래와 같이 정산합니다."&amp;CHAR(10)&amp;
    "공제 후 잔액 부족으로 발생한 부족액 "&amp;TEXT(ABS(E37),"#,##0")&amp;"원(VAT 별도)에 대하여 당사에서 세금계산서를 발행할 예정이오니,"&amp;CHAR(10)&amp;
    "정산일에 맞추어 당사 계좌로 입금하여 주시기 바랍니다.")</f>
        <v>당사 간 체결한 위탁운영 계약에 따라 2026년 07월 정산기준월의 용역비를 아래와 같이 정산합니다.
확정된 용역비 38,351,780원(VAT 별도)에 대한 세금계산서를 당사로 발행하여 주시기 바랍니다.</v>
      </c>
      <c r="C7" s="56"/>
      <c r="D7" s="56"/>
      <c r="E7" s="56"/>
      <c r="F7" s="56"/>
    </row>
    <row r="8" spans="1:6" x14ac:dyDescent="0.2">
      <c r="B8" s="56"/>
      <c r="C8" s="56"/>
      <c r="D8" s="56"/>
      <c r="E8" s="56"/>
      <c r="F8" s="56"/>
    </row>
    <row r="9" spans="1:6" x14ac:dyDescent="0.2">
      <c r="B9" s="56"/>
      <c r="C9" s="56"/>
      <c r="D9" s="56"/>
      <c r="E9" s="56"/>
      <c r="F9" s="56"/>
    </row>
    <row r="10" spans="1:6" x14ac:dyDescent="0.2">
      <c r="B10" s="12"/>
      <c r="E10" s="1"/>
      <c r="F10" s="13" t="s">
        <v>43</v>
      </c>
    </row>
    <row r="11" spans="1:6" ht="20.25" x14ac:dyDescent="0.2">
      <c r="A11" s="8"/>
      <c r="B11" s="3" t="s">
        <v>0</v>
      </c>
      <c r="C11" s="57" t="s">
        <v>1</v>
      </c>
      <c r="D11" s="57"/>
      <c r="E11" s="7" t="s">
        <v>23</v>
      </c>
      <c r="F11" s="3" t="s">
        <v>2</v>
      </c>
    </row>
    <row r="12" spans="1:6" ht="43.5" customHeight="1" x14ac:dyDescent="0.2">
      <c r="A12" s="8"/>
      <c r="B12" s="58" t="s">
        <v>8</v>
      </c>
      <c r="C12" s="59" t="s">
        <v>45</v>
      </c>
      <c r="D12" s="59"/>
      <c r="E12" s="31">
        <v>97225010</v>
      </c>
      <c r="F12" s="15" t="s">
        <v>54</v>
      </c>
    </row>
    <row r="13" spans="1:6" ht="31.5" customHeight="1" x14ac:dyDescent="0.2">
      <c r="A13" s="8"/>
      <c r="B13" s="58"/>
      <c r="C13" s="59" t="s">
        <v>40</v>
      </c>
      <c r="D13" s="59"/>
      <c r="E13" s="31">
        <v>169558</v>
      </c>
      <c r="F13" s="15" t="s">
        <v>58</v>
      </c>
    </row>
    <row r="14" spans="1:6" ht="20.25" x14ac:dyDescent="0.2">
      <c r="A14" s="8"/>
      <c r="B14" s="58"/>
      <c r="C14" s="60" t="s">
        <v>46</v>
      </c>
      <c r="D14" s="60"/>
      <c r="E14" s="32">
        <f>E12-E13</f>
        <v>97055452</v>
      </c>
      <c r="F14" s="20"/>
    </row>
    <row r="15" spans="1:6" ht="20.25" x14ac:dyDescent="0.2">
      <c r="A15" s="8"/>
      <c r="B15" s="58"/>
      <c r="C15" s="58" t="s">
        <v>8</v>
      </c>
      <c r="D15" s="58"/>
      <c r="E15" s="33">
        <f>ROUNDDOWN(E14/1.1,0)</f>
        <v>88232229</v>
      </c>
      <c r="F15" s="21" t="s">
        <v>47</v>
      </c>
    </row>
    <row r="16" spans="1:6" ht="20.25" x14ac:dyDescent="0.2">
      <c r="A16" s="8"/>
      <c r="B16" s="50" t="s">
        <v>9</v>
      </c>
      <c r="C16" s="48" t="s">
        <v>10</v>
      </c>
      <c r="D16" s="48"/>
      <c r="E16" s="34">
        <v>32000000</v>
      </c>
      <c r="F16" s="17" t="s">
        <v>59</v>
      </c>
    </row>
    <row r="17" spans="1:6" ht="20.25" x14ac:dyDescent="0.2">
      <c r="A17" s="8"/>
      <c r="B17" s="51"/>
      <c r="C17" s="48" t="s">
        <v>13</v>
      </c>
      <c r="D17" s="48"/>
      <c r="E17" s="34">
        <v>977983</v>
      </c>
      <c r="F17" s="22" t="s">
        <v>55</v>
      </c>
    </row>
    <row r="18" spans="1:6" ht="20.25" x14ac:dyDescent="0.2">
      <c r="A18" s="8"/>
      <c r="B18" s="51"/>
      <c r="C18" s="53" t="s">
        <v>52</v>
      </c>
      <c r="D18" s="54"/>
      <c r="E18" s="35">
        <v>105978</v>
      </c>
      <c r="F18" s="29" t="s">
        <v>56</v>
      </c>
    </row>
    <row r="19" spans="1:6" ht="20.25" x14ac:dyDescent="0.2">
      <c r="A19" s="8"/>
      <c r="B19" s="51"/>
      <c r="C19" s="53" t="s">
        <v>48</v>
      </c>
      <c r="D19" s="54"/>
      <c r="E19" s="35">
        <v>0</v>
      </c>
      <c r="F19" s="29" t="s">
        <v>49</v>
      </c>
    </row>
    <row r="20" spans="1:6" ht="20.25" x14ac:dyDescent="0.2">
      <c r="A20" s="8"/>
      <c r="B20" s="51"/>
      <c r="C20" s="55" t="s">
        <v>11</v>
      </c>
      <c r="D20" s="55"/>
      <c r="E20" s="34">
        <v>9387761</v>
      </c>
      <c r="F20" s="17" t="s">
        <v>53</v>
      </c>
    </row>
    <row r="21" spans="1:6" ht="20.25" x14ac:dyDescent="0.2">
      <c r="A21" s="8"/>
      <c r="B21" s="51"/>
      <c r="C21" s="48" t="s">
        <v>4</v>
      </c>
      <c r="D21" s="48"/>
      <c r="E21" s="34">
        <v>5488860</v>
      </c>
      <c r="F21" s="16" t="str">
        <f>TEXT(EDATE(C4,-1),"yyyy년 m월")&amp;"분"</f>
        <v>2026년 6월분</v>
      </c>
    </row>
    <row r="22" spans="1:6" ht="13.5" x14ac:dyDescent="0.2">
      <c r="A22" s="5"/>
      <c r="B22" s="51"/>
      <c r="C22" s="49" t="s">
        <v>12</v>
      </c>
      <c r="D22" s="9" t="s">
        <v>6</v>
      </c>
      <c r="E22" s="36">
        <v>549734</v>
      </c>
      <c r="F22" s="18" t="s">
        <v>30</v>
      </c>
    </row>
    <row r="23" spans="1:6" ht="13.5" customHeight="1" x14ac:dyDescent="0.2">
      <c r="A23" s="5"/>
      <c r="B23" s="51"/>
      <c r="C23" s="49"/>
      <c r="D23" s="9" t="s">
        <v>7</v>
      </c>
      <c r="E23" s="36">
        <v>187216</v>
      </c>
      <c r="F23" s="18" t="s">
        <v>31</v>
      </c>
    </row>
    <row r="24" spans="1:6" ht="13.5" x14ac:dyDescent="0.2">
      <c r="A24" s="5"/>
      <c r="B24" s="51"/>
      <c r="C24" s="49"/>
      <c r="D24" s="9" t="s">
        <v>57</v>
      </c>
      <c r="E24" s="36">
        <v>420000</v>
      </c>
      <c r="F24" s="18" t="s">
        <v>32</v>
      </c>
    </row>
    <row r="25" spans="1:6" ht="13.5" x14ac:dyDescent="0.2">
      <c r="A25" s="5"/>
      <c r="B25" s="51"/>
      <c r="C25" s="49"/>
      <c r="D25" s="9" t="s">
        <v>16</v>
      </c>
      <c r="E25" s="36">
        <v>15000</v>
      </c>
      <c r="F25" s="18" t="s">
        <v>33</v>
      </c>
    </row>
    <row r="26" spans="1:6" ht="13.5" customHeight="1" x14ac:dyDescent="0.2">
      <c r="A26" s="5"/>
      <c r="B26" s="51"/>
      <c r="C26" s="49"/>
      <c r="D26" s="9" t="s">
        <v>17</v>
      </c>
      <c r="E26" s="36">
        <v>42000</v>
      </c>
      <c r="F26" s="18" t="s">
        <v>34</v>
      </c>
    </row>
    <row r="27" spans="1:6" ht="13.5" customHeight="1" x14ac:dyDescent="0.2">
      <c r="A27" s="5"/>
      <c r="B27" s="51"/>
      <c r="C27" s="49"/>
      <c r="D27" s="9" t="s">
        <v>5</v>
      </c>
      <c r="E27" s="36">
        <v>97000</v>
      </c>
      <c r="F27" s="18" t="s">
        <v>35</v>
      </c>
    </row>
    <row r="28" spans="1:6" ht="13.5" customHeight="1" x14ac:dyDescent="0.2">
      <c r="A28" s="5"/>
      <c r="B28" s="51"/>
      <c r="C28" s="49"/>
      <c r="D28" s="9" t="s">
        <v>18</v>
      </c>
      <c r="E28" s="36">
        <v>12128</v>
      </c>
      <c r="F28" s="18" t="s">
        <v>39</v>
      </c>
    </row>
    <row r="29" spans="1:6" ht="13.5" customHeight="1" x14ac:dyDescent="0.2">
      <c r="A29" s="5"/>
      <c r="B29" s="51"/>
      <c r="C29" s="49"/>
      <c r="D29" s="9" t="s">
        <v>19</v>
      </c>
      <c r="E29" s="36">
        <v>104093</v>
      </c>
      <c r="F29" s="18" t="s">
        <v>36</v>
      </c>
    </row>
    <row r="30" spans="1:6" ht="13.5" customHeight="1" x14ac:dyDescent="0.2">
      <c r="A30" s="5"/>
      <c r="B30" s="51"/>
      <c r="C30" s="49"/>
      <c r="D30" s="9" t="s">
        <v>20</v>
      </c>
      <c r="E30" s="36">
        <v>130184</v>
      </c>
      <c r="F30" s="18" t="s">
        <v>37</v>
      </c>
    </row>
    <row r="31" spans="1:6" ht="13.5" x14ac:dyDescent="0.2">
      <c r="A31" s="5"/>
      <c r="B31" s="51"/>
      <c r="C31" s="49"/>
      <c r="D31" s="9" t="s">
        <v>21</v>
      </c>
      <c r="E31" s="36">
        <v>25000</v>
      </c>
      <c r="F31" s="18" t="s">
        <v>38</v>
      </c>
    </row>
    <row r="32" spans="1:6" ht="13.5" customHeight="1" x14ac:dyDescent="0.2">
      <c r="A32" s="5"/>
      <c r="B32" s="51"/>
      <c r="C32" s="49"/>
      <c r="D32" s="9" t="s">
        <v>41</v>
      </c>
      <c r="E32" s="36">
        <v>337512</v>
      </c>
      <c r="F32" s="18" t="s">
        <v>42</v>
      </c>
    </row>
    <row r="33" spans="1:6" ht="13.5" customHeight="1" x14ac:dyDescent="0.2">
      <c r="A33" s="5"/>
      <c r="B33" s="51"/>
      <c r="C33" s="49"/>
      <c r="D33" s="9"/>
      <c r="E33" s="36"/>
      <c r="F33" s="18"/>
    </row>
    <row r="34" spans="1:6" ht="13.5" customHeight="1" x14ac:dyDescent="0.2">
      <c r="A34" s="5"/>
      <c r="B34" s="51"/>
      <c r="C34" s="49"/>
      <c r="D34" s="9"/>
      <c r="E34" s="36"/>
      <c r="F34" s="18"/>
    </row>
    <row r="35" spans="1:6" ht="20.25" x14ac:dyDescent="0.2">
      <c r="A35" s="8"/>
      <c r="B35" s="52"/>
      <c r="C35" s="49"/>
      <c r="D35" s="2" t="s">
        <v>22</v>
      </c>
      <c r="E35" s="37">
        <f>SUM(E22:E34)</f>
        <v>1919867</v>
      </c>
      <c r="F35" s="19"/>
    </row>
    <row r="36" spans="1:6" ht="21" thickBot="1" x14ac:dyDescent="0.25">
      <c r="A36" s="8"/>
      <c r="B36" s="41" t="s">
        <v>14</v>
      </c>
      <c r="C36" s="42"/>
      <c r="D36" s="43"/>
      <c r="E36" s="38">
        <f>SUM(E16:E21,E35)</f>
        <v>49880449</v>
      </c>
      <c r="F36" s="25"/>
    </row>
    <row r="37" spans="1:6" ht="21" thickBot="1" x14ac:dyDescent="0.25">
      <c r="A37" s="8"/>
      <c r="B37" s="44" t="str">
        <f>IF(
    E37&gt;0,
    "용역비","부족액")</f>
        <v>용역비</v>
      </c>
      <c r="C37" s="45"/>
      <c r="D37" s="46"/>
      <c r="E37" s="39">
        <f>E15-E36</f>
        <v>38351780</v>
      </c>
      <c r="F37" s="26" t="s">
        <v>28</v>
      </c>
    </row>
    <row r="38" spans="1:6" ht="14.25" customHeight="1" x14ac:dyDescent="0.2">
      <c r="A38" s="8"/>
    </row>
    <row r="39" spans="1:6" ht="40.5" customHeight="1" x14ac:dyDescent="0.2">
      <c r="B39" s="47" t="s">
        <v>29</v>
      </c>
      <c r="C39" s="47"/>
      <c r="D39" s="47"/>
      <c r="E39" s="47"/>
      <c r="F39" s="47"/>
    </row>
    <row r="42" spans="1:6" x14ac:dyDescent="0.2">
      <c r="F42" s="40"/>
    </row>
  </sheetData>
  <mergeCells count="21">
    <mergeCell ref="B36:D36"/>
    <mergeCell ref="B37:D37"/>
    <mergeCell ref="B39:F39"/>
    <mergeCell ref="B16:B35"/>
    <mergeCell ref="C16:D16"/>
    <mergeCell ref="C19:D19"/>
    <mergeCell ref="C21:D21"/>
    <mergeCell ref="C22:C35"/>
    <mergeCell ref="C20:D20"/>
    <mergeCell ref="C13:D13"/>
    <mergeCell ref="C14:D14"/>
    <mergeCell ref="C15:D15"/>
    <mergeCell ref="C18:D18"/>
    <mergeCell ref="B2:F2"/>
    <mergeCell ref="C4:D4"/>
    <mergeCell ref="C5:D5"/>
    <mergeCell ref="C17:D17"/>
    <mergeCell ref="B7:F9"/>
    <mergeCell ref="C11:D11"/>
    <mergeCell ref="B12:B15"/>
    <mergeCell ref="C12:D12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F5C8-889E-4A49-8F11-ED088B3727AA}">
  <sheetPr>
    <tabColor theme="1"/>
    <pageSetUpPr fitToPage="1"/>
  </sheetPr>
  <dimension ref="A2:F42"/>
  <sheetViews>
    <sheetView showGridLines="0" zoomScaleNormal="100" zoomScaleSheetLayoutView="100" workbookViewId="0">
      <selection activeCell="J16" sqref="J16"/>
    </sheetView>
  </sheetViews>
  <sheetFormatPr defaultRowHeight="17.25" x14ac:dyDescent="0.2"/>
  <cols>
    <col min="1" max="1" width="2.28515625" style="6" bestFit="1" customWidth="1"/>
    <col min="2" max="2" width="11" bestFit="1" customWidth="1"/>
    <col min="3" max="3" width="6.85546875" bestFit="1" customWidth="1"/>
    <col min="4" max="4" width="16.140625" bestFit="1" customWidth="1"/>
    <col min="5" max="5" width="14.5703125" bestFit="1" customWidth="1"/>
    <col min="6" max="6" width="55.7109375" customWidth="1"/>
  </cols>
  <sheetData>
    <row r="2" spans="1:6" ht="31.5" x14ac:dyDescent="0.2">
      <c r="A2" s="6" t="s">
        <v>3</v>
      </c>
      <c r="B2" s="61" t="s">
        <v>27</v>
      </c>
      <c r="C2" s="61"/>
      <c r="D2" s="61"/>
      <c r="E2" s="61"/>
      <c r="F2" s="61"/>
    </row>
    <row r="3" spans="1:6" ht="14.25" customHeight="1" x14ac:dyDescent="0.2">
      <c r="B3" s="14"/>
      <c r="C3" s="14"/>
      <c r="D3" s="14"/>
      <c r="E3" s="14"/>
      <c r="F3" s="14"/>
    </row>
    <row r="4" spans="1:6" ht="12" customHeight="1" x14ac:dyDescent="0.2">
      <c r="A4" s="10"/>
      <c r="B4" s="23" t="s">
        <v>25</v>
      </c>
      <c r="C4" s="62">
        <v>46174</v>
      </c>
      <c r="D4" s="62"/>
      <c r="E4" s="24"/>
      <c r="F4" s="24"/>
    </row>
    <row r="5" spans="1:6" ht="12" customHeight="1" x14ac:dyDescent="0.2">
      <c r="A5" s="10"/>
      <c r="B5" s="23" t="s">
        <v>26</v>
      </c>
      <c r="C5" s="63">
        <v>46209</v>
      </c>
      <c r="D5" s="63"/>
      <c r="E5" s="24"/>
      <c r="F5" s="24"/>
    </row>
    <row r="6" spans="1:6" x14ac:dyDescent="0.2">
      <c r="B6" s="12"/>
      <c r="C6" s="12"/>
      <c r="D6" s="12"/>
      <c r="E6" s="11"/>
      <c r="F6" s="11"/>
    </row>
    <row r="7" spans="1:6" ht="17.25" customHeight="1" x14ac:dyDescent="0.2">
      <c r="B7" s="56" t="str">
        <f>IF(
    E37&gt;0,
    "당사 간 체결한 위탁운영 계약에 따라 "&amp;TEXT(C4,"YYYY년 MM월")&amp;" 정산기준월의 용역비를 아래와 같이 정산합니다."&amp;CHAR(10)&amp;
    "확정된 용역비 "&amp;TEXT(E37,"#,##0")&amp;"원(VAT 별도)에 대한 세금계산서를 당사로 발행하여 주시기 바랍니다.",
    "당사 간 체결한 위탁운영 계약에 따라 "&amp;TEXT(C4,"YYYY년 MM월")&amp;" 정산기준월의 용역비를 아래와 같이 정산합니다."&amp;CHAR(10)&amp;
    "공제 후 잔액 부족으로 발생한 부족액 "&amp;TEXT(ABS(E37),"#,##0")&amp;"원(VAT 별도)에 대하여 당사에서 세금계산서를 발행할 예정이오니,"&amp;CHAR(10)&amp;
    "정산일에 맞추어 당사 계좌로 입금하여 주시기 바랍니다.")</f>
        <v>당사 간 체결한 위탁운영 계약에 따라 2026년 06월 정산기준월의 용역비를 아래와 같이 정산합니다.
확정된 용역비 29,492,774원(VAT 별도)에 대한 세금계산서를 당사로 발행하여 주시기 바랍니다.</v>
      </c>
      <c r="C7" s="56"/>
      <c r="D7" s="56"/>
      <c r="E7" s="56"/>
      <c r="F7" s="56"/>
    </row>
    <row r="8" spans="1:6" x14ac:dyDescent="0.2">
      <c r="B8" s="56"/>
      <c r="C8" s="56"/>
      <c r="D8" s="56"/>
      <c r="E8" s="56"/>
      <c r="F8" s="56"/>
    </row>
    <row r="9" spans="1:6" x14ac:dyDescent="0.2">
      <c r="B9" s="56"/>
      <c r="C9" s="56"/>
      <c r="D9" s="56"/>
      <c r="E9" s="56"/>
      <c r="F9" s="56"/>
    </row>
    <row r="10" spans="1:6" x14ac:dyDescent="0.2">
      <c r="B10" s="12"/>
      <c r="E10" s="1"/>
      <c r="F10" s="13" t="s">
        <v>43</v>
      </c>
    </row>
    <row r="11" spans="1:6" ht="20.25" x14ac:dyDescent="0.2">
      <c r="A11" s="8"/>
      <c r="B11" s="3" t="s">
        <v>0</v>
      </c>
      <c r="C11" s="57" t="s">
        <v>1</v>
      </c>
      <c r="D11" s="57"/>
      <c r="E11" s="7" t="s">
        <v>23</v>
      </c>
      <c r="F11" s="3" t="s">
        <v>2</v>
      </c>
    </row>
    <row r="12" spans="1:6" ht="43.5" customHeight="1" x14ac:dyDescent="0.2">
      <c r="A12" s="8"/>
      <c r="B12" s="58" t="s">
        <v>8</v>
      </c>
      <c r="C12" s="59" t="s">
        <v>45</v>
      </c>
      <c r="D12" s="59"/>
      <c r="E12" s="31">
        <v>79523200</v>
      </c>
      <c r="F12" s="15" t="s">
        <v>54</v>
      </c>
    </row>
    <row r="13" spans="1:6" ht="31.5" customHeight="1" x14ac:dyDescent="0.2">
      <c r="A13" s="8"/>
      <c r="B13" s="58"/>
      <c r="C13" s="59" t="s">
        <v>40</v>
      </c>
      <c r="D13" s="59"/>
      <c r="E13" s="31">
        <v>277222</v>
      </c>
      <c r="F13" s="15" t="s">
        <v>58</v>
      </c>
    </row>
    <row r="14" spans="1:6" ht="20.25" x14ac:dyDescent="0.2">
      <c r="A14" s="8"/>
      <c r="B14" s="58"/>
      <c r="C14" s="60" t="s">
        <v>46</v>
      </c>
      <c r="D14" s="60"/>
      <c r="E14" s="32">
        <f>E12-E13</f>
        <v>79245978</v>
      </c>
      <c r="F14" s="20"/>
    </row>
    <row r="15" spans="1:6" ht="20.25" x14ac:dyDescent="0.2">
      <c r="A15" s="8"/>
      <c r="B15" s="58"/>
      <c r="C15" s="58" t="s">
        <v>8</v>
      </c>
      <c r="D15" s="58"/>
      <c r="E15" s="33">
        <f>ROUNDDOWN(E14/1.1,0)</f>
        <v>72041798</v>
      </c>
      <c r="F15" s="21" t="s">
        <v>47</v>
      </c>
    </row>
    <row r="16" spans="1:6" ht="20.25" x14ac:dyDescent="0.2">
      <c r="A16" s="8"/>
      <c r="B16" s="50" t="s">
        <v>9</v>
      </c>
      <c r="C16" s="48" t="s">
        <v>10</v>
      </c>
      <c r="D16" s="48"/>
      <c r="E16" s="34">
        <v>28000000</v>
      </c>
      <c r="F16" s="17" t="s">
        <v>24</v>
      </c>
    </row>
    <row r="17" spans="1:6" ht="20.25" x14ac:dyDescent="0.2">
      <c r="A17" s="8"/>
      <c r="B17" s="51"/>
      <c r="C17" s="48" t="s">
        <v>13</v>
      </c>
      <c r="D17" s="48"/>
      <c r="E17" s="34">
        <v>807451</v>
      </c>
      <c r="F17" s="22" t="s">
        <v>55</v>
      </c>
    </row>
    <row r="18" spans="1:6" ht="20.25" x14ac:dyDescent="0.2">
      <c r="A18" s="8"/>
      <c r="B18" s="51"/>
      <c r="C18" s="53" t="s">
        <v>52</v>
      </c>
      <c r="D18" s="54"/>
      <c r="E18" s="35">
        <v>87794</v>
      </c>
      <c r="F18" s="29" t="s">
        <v>56</v>
      </c>
    </row>
    <row r="19" spans="1:6" ht="20.25" x14ac:dyDescent="0.2">
      <c r="A19" s="8"/>
      <c r="B19" s="51"/>
      <c r="C19" s="53" t="s">
        <v>48</v>
      </c>
      <c r="D19" s="54"/>
      <c r="E19" s="35">
        <v>0</v>
      </c>
      <c r="F19" s="29" t="s">
        <v>49</v>
      </c>
    </row>
    <row r="20" spans="1:6" ht="20.25" x14ac:dyDescent="0.2">
      <c r="A20" s="8"/>
      <c r="B20" s="51"/>
      <c r="C20" s="55" t="s">
        <v>11</v>
      </c>
      <c r="D20" s="55"/>
      <c r="E20" s="34">
        <v>7505060</v>
      </c>
      <c r="F20" s="17" t="s">
        <v>53</v>
      </c>
    </row>
    <row r="21" spans="1:6" ht="20.25" x14ac:dyDescent="0.2">
      <c r="A21" s="8"/>
      <c r="B21" s="51"/>
      <c r="C21" s="48" t="s">
        <v>4</v>
      </c>
      <c r="D21" s="48"/>
      <c r="E21" s="34">
        <v>4253850</v>
      </c>
      <c r="F21" s="16" t="str">
        <f>TEXT(EDATE(C4,-1),"yyyy년 m월")&amp;"분"</f>
        <v>2026년 5월분</v>
      </c>
    </row>
    <row r="22" spans="1:6" ht="13.5" x14ac:dyDescent="0.2">
      <c r="A22" s="5"/>
      <c r="B22" s="51"/>
      <c r="C22" s="49" t="s">
        <v>12</v>
      </c>
      <c r="D22" s="9" t="s">
        <v>6</v>
      </c>
      <c r="E22" s="36">
        <v>549734</v>
      </c>
      <c r="F22" s="18" t="s">
        <v>30</v>
      </c>
    </row>
    <row r="23" spans="1:6" ht="13.5" customHeight="1" x14ac:dyDescent="0.2">
      <c r="A23" s="5"/>
      <c r="B23" s="51"/>
      <c r="C23" s="49"/>
      <c r="D23" s="9" t="s">
        <v>7</v>
      </c>
      <c r="E23" s="36">
        <v>187216</v>
      </c>
      <c r="F23" s="18" t="s">
        <v>31</v>
      </c>
    </row>
    <row r="24" spans="1:6" ht="13.5" x14ac:dyDescent="0.2">
      <c r="A24" s="5"/>
      <c r="B24" s="51"/>
      <c r="C24" s="49"/>
      <c r="D24" s="9" t="s">
        <v>57</v>
      </c>
      <c r="E24" s="36">
        <v>420000</v>
      </c>
      <c r="F24" s="18" t="s">
        <v>32</v>
      </c>
    </row>
    <row r="25" spans="1:6" ht="13.5" x14ac:dyDescent="0.2">
      <c r="A25" s="5"/>
      <c r="B25" s="51"/>
      <c r="C25" s="49"/>
      <c r="D25" s="9" t="s">
        <v>16</v>
      </c>
      <c r="E25" s="36">
        <v>15000</v>
      </c>
      <c r="F25" s="18" t="s">
        <v>33</v>
      </c>
    </row>
    <row r="26" spans="1:6" ht="13.5" customHeight="1" x14ac:dyDescent="0.2">
      <c r="A26" s="5"/>
      <c r="B26" s="51"/>
      <c r="C26" s="49"/>
      <c r="D26" s="9" t="s">
        <v>17</v>
      </c>
      <c r="E26" s="36">
        <v>42000</v>
      </c>
      <c r="F26" s="18" t="s">
        <v>34</v>
      </c>
    </row>
    <row r="27" spans="1:6" ht="13.5" customHeight="1" x14ac:dyDescent="0.2">
      <c r="A27" s="5"/>
      <c r="B27" s="51"/>
      <c r="C27" s="49"/>
      <c r="D27" s="9" t="s">
        <v>5</v>
      </c>
      <c r="E27" s="36">
        <v>97000</v>
      </c>
      <c r="F27" s="18" t="s">
        <v>35</v>
      </c>
    </row>
    <row r="28" spans="1:6" ht="13.5" customHeight="1" x14ac:dyDescent="0.2">
      <c r="A28" s="5"/>
      <c r="B28" s="51"/>
      <c r="C28" s="49"/>
      <c r="D28" s="9" t="s">
        <v>18</v>
      </c>
      <c r="E28" s="36">
        <v>11637</v>
      </c>
      <c r="F28" s="18" t="s">
        <v>39</v>
      </c>
    </row>
    <row r="29" spans="1:6" ht="13.5" customHeight="1" x14ac:dyDescent="0.2">
      <c r="A29" s="5"/>
      <c r="B29" s="51"/>
      <c r="C29" s="49"/>
      <c r="D29" s="9" t="s">
        <v>19</v>
      </c>
      <c r="E29" s="36">
        <v>104093</v>
      </c>
      <c r="F29" s="18" t="s">
        <v>36</v>
      </c>
    </row>
    <row r="30" spans="1:6" ht="13.5" customHeight="1" x14ac:dyDescent="0.2">
      <c r="A30" s="5"/>
      <c r="B30" s="51"/>
      <c r="C30" s="49"/>
      <c r="D30" s="9" t="s">
        <v>20</v>
      </c>
      <c r="E30" s="36">
        <v>130184</v>
      </c>
      <c r="F30" s="18" t="s">
        <v>37</v>
      </c>
    </row>
    <row r="31" spans="1:6" ht="13.5" x14ac:dyDescent="0.2">
      <c r="A31" s="5"/>
      <c r="B31" s="51"/>
      <c r="C31" s="49"/>
      <c r="D31" s="9" t="s">
        <v>21</v>
      </c>
      <c r="E31" s="36">
        <v>25000</v>
      </c>
      <c r="F31" s="18" t="s">
        <v>38</v>
      </c>
    </row>
    <row r="32" spans="1:6" ht="13.5" customHeight="1" x14ac:dyDescent="0.2">
      <c r="A32" s="5"/>
      <c r="B32" s="51"/>
      <c r="C32" s="49"/>
      <c r="D32" s="9" t="s">
        <v>41</v>
      </c>
      <c r="E32" s="36">
        <v>313005</v>
      </c>
      <c r="F32" s="18" t="s">
        <v>42</v>
      </c>
    </row>
    <row r="33" spans="1:6" ht="13.5" customHeight="1" x14ac:dyDescent="0.2">
      <c r="A33" s="5"/>
      <c r="B33" s="51"/>
      <c r="C33" s="49"/>
      <c r="D33" s="9"/>
      <c r="E33" s="36"/>
      <c r="F33" s="18"/>
    </row>
    <row r="34" spans="1:6" ht="13.5" customHeight="1" x14ac:dyDescent="0.2">
      <c r="A34" s="5"/>
      <c r="B34" s="51"/>
      <c r="C34" s="49"/>
      <c r="D34" s="9"/>
      <c r="E34" s="36"/>
      <c r="F34" s="18"/>
    </row>
    <row r="35" spans="1:6" ht="20.25" x14ac:dyDescent="0.2">
      <c r="A35" s="8"/>
      <c r="B35" s="52"/>
      <c r="C35" s="49"/>
      <c r="D35" s="2" t="s">
        <v>22</v>
      </c>
      <c r="E35" s="37">
        <f>SUM(E22:E34)</f>
        <v>1894869</v>
      </c>
      <c r="F35" s="19"/>
    </row>
    <row r="36" spans="1:6" ht="21" thickBot="1" x14ac:dyDescent="0.25">
      <c r="A36" s="8"/>
      <c r="B36" s="41" t="s">
        <v>14</v>
      </c>
      <c r="C36" s="42"/>
      <c r="D36" s="43"/>
      <c r="E36" s="38">
        <f>SUM(E16:E21,E35)</f>
        <v>42549024</v>
      </c>
      <c r="F36" s="25"/>
    </row>
    <row r="37" spans="1:6" ht="21" thickBot="1" x14ac:dyDescent="0.25">
      <c r="A37" s="8"/>
      <c r="B37" s="44" t="str">
        <f>IF(
    E37&gt;0,
    "용역비","부족액")</f>
        <v>용역비</v>
      </c>
      <c r="C37" s="45"/>
      <c r="D37" s="46"/>
      <c r="E37" s="39">
        <f>E15-E36</f>
        <v>29492774</v>
      </c>
      <c r="F37" s="26" t="s">
        <v>28</v>
      </c>
    </row>
    <row r="38" spans="1:6" ht="14.25" customHeight="1" x14ac:dyDescent="0.2">
      <c r="A38" s="8"/>
    </row>
    <row r="39" spans="1:6" ht="40.5" customHeight="1" x14ac:dyDescent="0.2">
      <c r="B39" s="47" t="s">
        <v>29</v>
      </c>
      <c r="C39" s="47"/>
      <c r="D39" s="47"/>
      <c r="E39" s="47"/>
      <c r="F39" s="47"/>
    </row>
    <row r="42" spans="1:6" x14ac:dyDescent="0.2">
      <c r="F42" s="40"/>
    </row>
  </sheetData>
  <mergeCells count="21">
    <mergeCell ref="B2:F2"/>
    <mergeCell ref="C4:D4"/>
    <mergeCell ref="C5:D5"/>
    <mergeCell ref="C18:D18"/>
    <mergeCell ref="C19:D19"/>
    <mergeCell ref="B7:F9"/>
    <mergeCell ref="C11:D11"/>
    <mergeCell ref="B12:B15"/>
    <mergeCell ref="C12:D12"/>
    <mergeCell ref="C13:D13"/>
    <mergeCell ref="C14:D14"/>
    <mergeCell ref="C15:D15"/>
    <mergeCell ref="C21:D21"/>
    <mergeCell ref="C22:C35"/>
    <mergeCell ref="B36:D36"/>
    <mergeCell ref="B37:D37"/>
    <mergeCell ref="B39:F39"/>
    <mergeCell ref="B16:B35"/>
    <mergeCell ref="C16:D16"/>
    <mergeCell ref="C17:D17"/>
    <mergeCell ref="C20:D20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8D42-09D1-445A-84A0-9BD7CA5F6BFD}">
  <sheetPr>
    <tabColor theme="1"/>
    <pageSetUpPr fitToPage="1"/>
  </sheetPr>
  <dimension ref="A2:F42"/>
  <sheetViews>
    <sheetView showGridLines="0" zoomScaleNormal="100" zoomScaleSheetLayoutView="100" workbookViewId="0">
      <selection activeCell="J16" sqref="J16"/>
    </sheetView>
  </sheetViews>
  <sheetFormatPr defaultRowHeight="17.25" x14ac:dyDescent="0.2"/>
  <cols>
    <col min="1" max="1" width="2.28515625" style="6" bestFit="1" customWidth="1"/>
    <col min="2" max="2" width="11" bestFit="1" customWidth="1"/>
    <col min="3" max="3" width="6.85546875" bestFit="1" customWidth="1"/>
    <col min="4" max="4" width="16.140625" bestFit="1" customWidth="1"/>
    <col min="5" max="5" width="14.5703125" bestFit="1" customWidth="1"/>
    <col min="6" max="6" width="55.7109375" customWidth="1"/>
  </cols>
  <sheetData>
    <row r="2" spans="1:6" ht="31.5" x14ac:dyDescent="0.2">
      <c r="A2" s="6" t="s">
        <v>3</v>
      </c>
      <c r="B2" s="61" t="s">
        <v>27</v>
      </c>
      <c r="C2" s="61"/>
      <c r="D2" s="61"/>
      <c r="E2" s="61"/>
      <c r="F2" s="61"/>
    </row>
    <row r="3" spans="1:6" ht="14.25" customHeight="1" x14ac:dyDescent="0.2">
      <c r="B3" s="14"/>
      <c r="C3" s="14"/>
      <c r="D3" s="14"/>
      <c r="E3" s="14"/>
      <c r="F3" s="14"/>
    </row>
    <row r="4" spans="1:6" ht="12" customHeight="1" x14ac:dyDescent="0.2">
      <c r="A4" s="10"/>
      <c r="B4" s="23" t="s">
        <v>25</v>
      </c>
      <c r="C4" s="62">
        <v>46143</v>
      </c>
      <c r="D4" s="62"/>
      <c r="E4" s="24"/>
      <c r="F4" s="24"/>
    </row>
    <row r="5" spans="1:6" ht="12" customHeight="1" x14ac:dyDescent="0.2">
      <c r="A5" s="10"/>
      <c r="B5" s="23" t="s">
        <v>26</v>
      </c>
      <c r="C5" s="63">
        <v>46175</v>
      </c>
      <c r="D5" s="63"/>
      <c r="E5" s="24"/>
      <c r="F5" s="24"/>
    </row>
    <row r="6" spans="1:6" x14ac:dyDescent="0.2">
      <c r="B6" s="12"/>
      <c r="C6" s="12"/>
      <c r="D6" s="12"/>
      <c r="E6" s="11"/>
      <c r="F6" s="11"/>
    </row>
    <row r="7" spans="1:6" ht="17.25" customHeight="1" x14ac:dyDescent="0.2">
      <c r="B7" s="56" t="str">
        <f>IF(
    E37&gt;0,
    "당사 간 체결한 위탁운영 계약에 따라 "&amp;TEXT(C4,"YYYY년 MM월")&amp;" 정산기준월의 용역비를 아래와 같이 정산합니다."&amp;CHAR(10)&amp;
    "확정된 용역비 "&amp;TEXT(E37,"#,##0")&amp;"원(VAT 별도)에 대한 세금계산서를 당사로 발행하여 주시기 바랍니다.",
    "당사 간 체결한 위탁운영 계약에 따라 "&amp;TEXT(C4,"YYYY년 MM월")&amp;" 정산기준월의 용역비를 아래와 같이 정산합니다."&amp;CHAR(10)&amp;
    "공제 후 잔액 부족으로 발생한 부족액 "&amp;TEXT(ABS(E37),"#,##0")&amp;"원(VAT 별도)에 대하여 당사에서 세금계산서를 발행할 예정이오니,"&amp;CHAR(10)&amp;
    "정산일에 맞추어 당사 계좌로 입금하여 주시기 바랍니다.")</f>
        <v>당사 간 체결한 위탁운영 계약에 따라 2026년 05월 정산기준월의 용역비를 아래와 같이 정산합니다.
확정된 용역비 34,577,269원(VAT 별도)에 대한 세금계산서를 당사로 발행하여 주시기 바랍니다.</v>
      </c>
      <c r="C7" s="56"/>
      <c r="D7" s="56"/>
      <c r="E7" s="56"/>
      <c r="F7" s="56"/>
    </row>
    <row r="8" spans="1:6" x14ac:dyDescent="0.2">
      <c r="B8" s="56"/>
      <c r="C8" s="56"/>
      <c r="D8" s="56"/>
      <c r="E8" s="56"/>
      <c r="F8" s="56"/>
    </row>
    <row r="9" spans="1:6" x14ac:dyDescent="0.2">
      <c r="B9" s="56"/>
      <c r="C9" s="56"/>
      <c r="D9" s="56"/>
      <c r="E9" s="56"/>
      <c r="F9" s="56"/>
    </row>
    <row r="10" spans="1:6" x14ac:dyDescent="0.2">
      <c r="B10" s="12"/>
      <c r="E10" s="1"/>
      <c r="F10" s="13" t="s">
        <v>43</v>
      </c>
    </row>
    <row r="11" spans="1:6" ht="20.25" x14ac:dyDescent="0.2">
      <c r="A11" s="8"/>
      <c r="B11" s="3" t="s">
        <v>0</v>
      </c>
      <c r="C11" s="57" t="s">
        <v>1</v>
      </c>
      <c r="D11" s="57"/>
      <c r="E11" s="7" t="s">
        <v>23</v>
      </c>
      <c r="F11" s="3" t="s">
        <v>2</v>
      </c>
    </row>
    <row r="12" spans="1:6" ht="43.5" customHeight="1" x14ac:dyDescent="0.2">
      <c r="A12" s="8"/>
      <c r="B12" s="58" t="s">
        <v>8</v>
      </c>
      <c r="C12" s="59" t="s">
        <v>45</v>
      </c>
      <c r="D12" s="59"/>
      <c r="E12" s="31">
        <v>85477810</v>
      </c>
      <c r="F12" s="15" t="s">
        <v>54</v>
      </c>
    </row>
    <row r="13" spans="1:6" ht="31.5" customHeight="1" x14ac:dyDescent="0.2">
      <c r="A13" s="8"/>
      <c r="B13" s="58"/>
      <c r="C13" s="59" t="s">
        <v>40</v>
      </c>
      <c r="D13" s="59"/>
      <c r="E13" s="31">
        <v>207022</v>
      </c>
      <c r="F13" s="15" t="s">
        <v>44</v>
      </c>
    </row>
    <row r="14" spans="1:6" ht="20.25" x14ac:dyDescent="0.2">
      <c r="A14" s="8"/>
      <c r="B14" s="58"/>
      <c r="C14" s="60" t="s">
        <v>46</v>
      </c>
      <c r="D14" s="60"/>
      <c r="E14" s="32">
        <f>E12-E13</f>
        <v>85270788</v>
      </c>
      <c r="F14" s="20"/>
    </row>
    <row r="15" spans="1:6" ht="20.25" x14ac:dyDescent="0.2">
      <c r="A15" s="8"/>
      <c r="B15" s="58"/>
      <c r="C15" s="58" t="s">
        <v>8</v>
      </c>
      <c r="D15" s="58"/>
      <c r="E15" s="33">
        <f>ROUNDDOWN(E14/1.1,0)</f>
        <v>77518898</v>
      </c>
      <c r="F15" s="21" t="s">
        <v>47</v>
      </c>
    </row>
    <row r="16" spans="1:6" ht="20.25" x14ac:dyDescent="0.2">
      <c r="A16" s="8"/>
      <c r="B16" s="50" t="s">
        <v>9</v>
      </c>
      <c r="C16" s="48" t="s">
        <v>10</v>
      </c>
      <c r="D16" s="48"/>
      <c r="E16" s="34">
        <v>28000000</v>
      </c>
      <c r="F16" s="17" t="s">
        <v>24</v>
      </c>
    </row>
    <row r="17" spans="1:6" ht="20.25" x14ac:dyDescent="0.2">
      <c r="A17" s="8"/>
      <c r="B17" s="51"/>
      <c r="C17" s="48" t="s">
        <v>13</v>
      </c>
      <c r="D17" s="48"/>
      <c r="E17" s="34">
        <v>883734</v>
      </c>
      <c r="F17" s="22" t="s">
        <v>55</v>
      </c>
    </row>
    <row r="18" spans="1:6" ht="20.25" x14ac:dyDescent="0.2">
      <c r="A18" s="8"/>
      <c r="B18" s="51"/>
      <c r="C18" s="53" t="s">
        <v>52</v>
      </c>
      <c r="D18" s="54"/>
      <c r="E18" s="35">
        <v>75711</v>
      </c>
      <c r="F18" s="29" t="s">
        <v>56</v>
      </c>
    </row>
    <row r="19" spans="1:6" ht="20.25" x14ac:dyDescent="0.2">
      <c r="A19" s="8"/>
      <c r="B19" s="51"/>
      <c r="C19" s="53" t="s">
        <v>48</v>
      </c>
      <c r="D19" s="54"/>
      <c r="E19" s="35">
        <v>110</v>
      </c>
      <c r="F19" s="29" t="s">
        <v>49</v>
      </c>
    </row>
    <row r="20" spans="1:6" ht="20.25" x14ac:dyDescent="0.2">
      <c r="A20" s="8"/>
      <c r="B20" s="51"/>
      <c r="C20" s="55" t="s">
        <v>11</v>
      </c>
      <c r="D20" s="55"/>
      <c r="E20" s="34">
        <v>8133120</v>
      </c>
      <c r="F20" s="17" t="s">
        <v>53</v>
      </c>
    </row>
    <row r="21" spans="1:6" ht="20.25" x14ac:dyDescent="0.2">
      <c r="A21" s="8"/>
      <c r="B21" s="51"/>
      <c r="C21" s="48" t="s">
        <v>4</v>
      </c>
      <c r="D21" s="48"/>
      <c r="E21" s="34">
        <v>3955880</v>
      </c>
      <c r="F21" s="16" t="str">
        <f>TEXT(EDATE(C4,-1),"yyyy년 m월")&amp;"분"</f>
        <v>2026년 4월분</v>
      </c>
    </row>
    <row r="22" spans="1:6" ht="13.5" x14ac:dyDescent="0.2">
      <c r="A22" s="5"/>
      <c r="B22" s="51"/>
      <c r="C22" s="49" t="s">
        <v>12</v>
      </c>
      <c r="D22" s="9" t="s">
        <v>6</v>
      </c>
      <c r="E22" s="36">
        <v>549734</v>
      </c>
      <c r="F22" s="18" t="s">
        <v>30</v>
      </c>
    </row>
    <row r="23" spans="1:6" ht="13.5" customHeight="1" x14ac:dyDescent="0.2">
      <c r="A23" s="5"/>
      <c r="B23" s="51"/>
      <c r="C23" s="49"/>
      <c r="D23" s="9" t="s">
        <v>7</v>
      </c>
      <c r="E23" s="36">
        <v>187216</v>
      </c>
      <c r="F23" s="18" t="s">
        <v>31</v>
      </c>
    </row>
    <row r="24" spans="1:6" ht="13.5" x14ac:dyDescent="0.2">
      <c r="A24" s="5"/>
      <c r="B24" s="51"/>
      <c r="C24" s="49"/>
      <c r="D24" s="9" t="s">
        <v>57</v>
      </c>
      <c r="E24" s="36">
        <v>420000</v>
      </c>
      <c r="F24" s="18" t="s">
        <v>32</v>
      </c>
    </row>
    <row r="25" spans="1:6" ht="13.5" x14ac:dyDescent="0.2">
      <c r="A25" s="5"/>
      <c r="B25" s="51"/>
      <c r="C25" s="49"/>
      <c r="D25" s="9" t="s">
        <v>16</v>
      </c>
      <c r="E25" s="36">
        <v>15000</v>
      </c>
      <c r="F25" s="18" t="s">
        <v>33</v>
      </c>
    </row>
    <row r="26" spans="1:6" ht="13.5" customHeight="1" x14ac:dyDescent="0.2">
      <c r="A26" s="5"/>
      <c r="B26" s="51"/>
      <c r="C26" s="49"/>
      <c r="D26" s="9" t="s">
        <v>17</v>
      </c>
      <c r="E26" s="36">
        <v>42000</v>
      </c>
      <c r="F26" s="18" t="s">
        <v>34</v>
      </c>
    </row>
    <row r="27" spans="1:6" ht="13.5" customHeight="1" x14ac:dyDescent="0.2">
      <c r="A27" s="5"/>
      <c r="B27" s="51"/>
      <c r="C27" s="49"/>
      <c r="D27" s="9" t="s">
        <v>5</v>
      </c>
      <c r="E27" s="36">
        <v>97000</v>
      </c>
      <c r="F27" s="18" t="s">
        <v>35</v>
      </c>
    </row>
    <row r="28" spans="1:6" ht="13.5" customHeight="1" x14ac:dyDescent="0.2">
      <c r="A28" s="5"/>
      <c r="B28" s="51"/>
      <c r="C28" s="49"/>
      <c r="D28" s="9" t="s">
        <v>18</v>
      </c>
      <c r="E28" s="36">
        <v>10782</v>
      </c>
      <c r="F28" s="18" t="s">
        <v>39</v>
      </c>
    </row>
    <row r="29" spans="1:6" ht="13.5" customHeight="1" x14ac:dyDescent="0.2">
      <c r="A29" s="5"/>
      <c r="B29" s="51"/>
      <c r="C29" s="49"/>
      <c r="D29" s="9" t="s">
        <v>19</v>
      </c>
      <c r="E29" s="36">
        <v>104093</v>
      </c>
      <c r="F29" s="18" t="s">
        <v>36</v>
      </c>
    </row>
    <row r="30" spans="1:6" ht="13.5" customHeight="1" x14ac:dyDescent="0.2">
      <c r="A30" s="5"/>
      <c r="B30" s="51"/>
      <c r="C30" s="49"/>
      <c r="D30" s="9" t="s">
        <v>20</v>
      </c>
      <c r="E30" s="36">
        <v>130184</v>
      </c>
      <c r="F30" s="18" t="s">
        <v>37</v>
      </c>
    </row>
    <row r="31" spans="1:6" ht="13.5" x14ac:dyDescent="0.2">
      <c r="A31" s="5"/>
      <c r="B31" s="51"/>
      <c r="C31" s="49"/>
      <c r="D31" s="9" t="s">
        <v>21</v>
      </c>
      <c r="E31" s="36">
        <v>25000</v>
      </c>
      <c r="F31" s="18" t="s">
        <v>38</v>
      </c>
    </row>
    <row r="32" spans="1:6" ht="13.5" customHeight="1" x14ac:dyDescent="0.2">
      <c r="A32" s="5"/>
      <c r="B32" s="51"/>
      <c r="C32" s="49"/>
      <c r="D32" s="9" t="s">
        <v>41</v>
      </c>
      <c r="E32" s="36">
        <v>312065</v>
      </c>
      <c r="F32" s="18" t="s">
        <v>42</v>
      </c>
    </row>
    <row r="33" spans="1:6" ht="13.5" customHeight="1" x14ac:dyDescent="0.2">
      <c r="A33" s="5"/>
      <c r="B33" s="51"/>
      <c r="C33" s="49"/>
      <c r="D33" s="9"/>
      <c r="E33" s="36"/>
      <c r="F33" s="18"/>
    </row>
    <row r="34" spans="1:6" ht="13.5" customHeight="1" x14ac:dyDescent="0.2">
      <c r="A34" s="5"/>
      <c r="B34" s="51"/>
      <c r="C34" s="49"/>
      <c r="D34" s="9"/>
      <c r="E34" s="36"/>
      <c r="F34" s="18"/>
    </row>
    <row r="35" spans="1:6" ht="20.25" x14ac:dyDescent="0.2">
      <c r="A35" s="8"/>
      <c r="B35" s="52"/>
      <c r="C35" s="49"/>
      <c r="D35" s="2" t="s">
        <v>22</v>
      </c>
      <c r="E35" s="37">
        <f>SUM(E22:E34)</f>
        <v>1893074</v>
      </c>
      <c r="F35" s="19"/>
    </row>
    <row r="36" spans="1:6" ht="21" thickBot="1" x14ac:dyDescent="0.25">
      <c r="A36" s="8"/>
      <c r="B36" s="41" t="s">
        <v>14</v>
      </c>
      <c r="C36" s="42"/>
      <c r="D36" s="43"/>
      <c r="E36" s="38">
        <f>SUM(E16:E21,E35)</f>
        <v>42941629</v>
      </c>
      <c r="F36" s="25"/>
    </row>
    <row r="37" spans="1:6" ht="21" thickBot="1" x14ac:dyDescent="0.25">
      <c r="A37" s="8"/>
      <c r="B37" s="44" t="str">
        <f>IF(
    E37&gt;0,
    "용역비","부족액")</f>
        <v>용역비</v>
      </c>
      <c r="C37" s="45"/>
      <c r="D37" s="46"/>
      <c r="E37" s="39">
        <f>E15-E36</f>
        <v>34577269</v>
      </c>
      <c r="F37" s="26" t="s">
        <v>28</v>
      </c>
    </row>
    <row r="38" spans="1:6" ht="14.25" customHeight="1" x14ac:dyDescent="0.2">
      <c r="A38" s="8"/>
    </row>
    <row r="39" spans="1:6" ht="40.5" customHeight="1" x14ac:dyDescent="0.2">
      <c r="B39" s="47" t="s">
        <v>29</v>
      </c>
      <c r="C39" s="47"/>
      <c r="D39" s="47"/>
      <c r="E39" s="47"/>
      <c r="F39" s="47"/>
    </row>
    <row r="42" spans="1:6" x14ac:dyDescent="0.2">
      <c r="F42" s="40"/>
    </row>
  </sheetData>
  <mergeCells count="21">
    <mergeCell ref="C21:D21"/>
    <mergeCell ref="C22:C35"/>
    <mergeCell ref="B36:D36"/>
    <mergeCell ref="B37:D37"/>
    <mergeCell ref="B39:F39"/>
    <mergeCell ref="B16:B35"/>
    <mergeCell ref="C16:D16"/>
    <mergeCell ref="C17:D17"/>
    <mergeCell ref="C20:D20"/>
    <mergeCell ref="C11:D11"/>
    <mergeCell ref="B12:B15"/>
    <mergeCell ref="C12:D12"/>
    <mergeCell ref="C13:D13"/>
    <mergeCell ref="C14:D14"/>
    <mergeCell ref="C15:D15"/>
    <mergeCell ref="C18:D18"/>
    <mergeCell ref="C19:D19"/>
    <mergeCell ref="B7:F9"/>
    <mergeCell ref="B2:F2"/>
    <mergeCell ref="C4:D4"/>
    <mergeCell ref="C5:D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F407-7E8C-4889-B2F5-9278B62EEEF5}">
  <sheetPr>
    <tabColor theme="1"/>
    <pageSetUpPr fitToPage="1"/>
  </sheetPr>
  <dimension ref="A2:F42"/>
  <sheetViews>
    <sheetView showGridLines="0" zoomScaleNormal="100" zoomScaleSheetLayoutView="100" workbookViewId="0">
      <selection activeCell="J16" sqref="J16"/>
    </sheetView>
  </sheetViews>
  <sheetFormatPr defaultRowHeight="17.25" x14ac:dyDescent="0.2"/>
  <cols>
    <col min="1" max="1" width="2.28515625" style="6" bestFit="1" customWidth="1"/>
    <col min="2" max="2" width="11" bestFit="1" customWidth="1"/>
    <col min="3" max="3" width="6.85546875" bestFit="1" customWidth="1"/>
    <col min="4" max="4" width="16.140625" customWidth="1"/>
    <col min="5" max="5" width="14.5703125" customWidth="1"/>
    <col min="6" max="6" width="55.7109375" customWidth="1"/>
  </cols>
  <sheetData>
    <row r="2" spans="1:6" ht="31.5" x14ac:dyDescent="0.2">
      <c r="A2" s="6" t="s">
        <v>3</v>
      </c>
      <c r="B2" s="61" t="s">
        <v>27</v>
      </c>
      <c r="C2" s="61"/>
      <c r="D2" s="61"/>
      <c r="E2" s="61"/>
      <c r="F2" s="61"/>
    </row>
    <row r="3" spans="1:6" ht="14.25" customHeight="1" x14ac:dyDescent="0.2">
      <c r="B3" s="14"/>
      <c r="C3" s="14"/>
      <c r="D3" s="14"/>
      <c r="E3" s="14"/>
      <c r="F3" s="14"/>
    </row>
    <row r="4" spans="1:6" ht="12" customHeight="1" x14ac:dyDescent="0.2">
      <c r="A4" s="10"/>
      <c r="B4" s="23" t="s">
        <v>25</v>
      </c>
      <c r="C4" s="62">
        <v>46113</v>
      </c>
      <c r="D4" s="62"/>
      <c r="E4" s="24"/>
      <c r="F4" s="24"/>
    </row>
    <row r="5" spans="1:6" ht="12" customHeight="1" x14ac:dyDescent="0.2">
      <c r="A5" s="10"/>
      <c r="B5" s="23" t="s">
        <v>26</v>
      </c>
      <c r="C5" s="63">
        <v>46150</v>
      </c>
      <c r="D5" s="63"/>
      <c r="E5" s="24"/>
      <c r="F5" s="24"/>
    </row>
    <row r="6" spans="1:6" x14ac:dyDescent="0.2">
      <c r="B6" s="12"/>
      <c r="C6" s="12"/>
      <c r="D6" s="12"/>
      <c r="E6" s="11"/>
      <c r="F6" s="11"/>
    </row>
    <row r="7" spans="1:6" ht="17.25" customHeight="1" x14ac:dyDescent="0.2">
      <c r="B7" s="56" t="str">
        <f>IF(
    E37&gt;0,
    "당사 간 체결한 위탁운영 계약에 따라 "&amp;TEXT(C4,"YYYY년 MM월")&amp;" 정산기준월의 용역비를 아래와 같이 정산합니다."&amp;CHAR(10)&amp;
    "확정된 용역비 "&amp;TEXT(E37,"#,##0")&amp;"원(VAT 별도)에 대한 세금계산서를 당사로 발행하여 주시기 바랍니다.",
    "당사 간 체결한 위탁운영 계약에 따라 "&amp;TEXT(C4,"YYYY년 MM월")&amp;" 정산기준월의 용역비를 아래와 같이 정산합니다."&amp;CHAR(10)&amp;
    "공제 후 잔액 부족으로 발생한 부족액 "&amp;TEXT(ABS(E37),"#,##0")&amp;"원(VAT 별도)에 대하여 당사에서 세금계산서를 발행할 예정이오니,"&amp;CHAR(10)&amp;
    "정산일에 맞추어 당사 계좌로 입금하여 주시기 바랍니다.")</f>
        <v>당사 간 체결한 위탁운영 계약에 따라 2026년 04월 정산기준월의 용역비를 아래와 같이 정산합니다.
확정된 용역비 23,404,178원(VAT 별도)에 대한 세금계산서를 당사로 발행하여 주시기 바랍니다.</v>
      </c>
      <c r="C7" s="56"/>
      <c r="D7" s="56"/>
      <c r="E7" s="56"/>
      <c r="F7" s="56"/>
    </row>
    <row r="8" spans="1:6" x14ac:dyDescent="0.2">
      <c r="B8" s="56"/>
      <c r="C8" s="56"/>
      <c r="D8" s="56"/>
      <c r="E8" s="56"/>
      <c r="F8" s="56"/>
    </row>
    <row r="9" spans="1:6" x14ac:dyDescent="0.2">
      <c r="B9" s="56"/>
      <c r="C9" s="56"/>
      <c r="D9" s="56"/>
      <c r="E9" s="56"/>
      <c r="F9" s="56"/>
    </row>
    <row r="10" spans="1:6" x14ac:dyDescent="0.2">
      <c r="B10" s="12"/>
      <c r="E10" s="1"/>
      <c r="F10" s="13" t="s">
        <v>43</v>
      </c>
    </row>
    <row r="11" spans="1:6" ht="20.25" x14ac:dyDescent="0.2">
      <c r="A11" s="8"/>
      <c r="B11" s="3" t="s">
        <v>0</v>
      </c>
      <c r="C11" s="57" t="s">
        <v>1</v>
      </c>
      <c r="D11" s="57"/>
      <c r="E11" s="7" t="s">
        <v>23</v>
      </c>
      <c r="F11" s="3" t="s">
        <v>2</v>
      </c>
    </row>
    <row r="12" spans="1:6" ht="43.5" customHeight="1" x14ac:dyDescent="0.2">
      <c r="A12" s="8"/>
      <c r="B12" s="58" t="s">
        <v>8</v>
      </c>
      <c r="C12" s="59" t="s">
        <v>45</v>
      </c>
      <c r="D12" s="59"/>
      <c r="E12" s="31">
        <v>71921800</v>
      </c>
      <c r="F12" s="15" t="s">
        <v>54</v>
      </c>
    </row>
    <row r="13" spans="1:6" ht="31.5" customHeight="1" x14ac:dyDescent="0.2">
      <c r="A13" s="8"/>
      <c r="B13" s="58"/>
      <c r="C13" s="59" t="s">
        <v>40</v>
      </c>
      <c r="D13" s="59"/>
      <c r="E13" s="31">
        <v>205606</v>
      </c>
      <c r="F13" s="15" t="s">
        <v>44</v>
      </c>
    </row>
    <row r="14" spans="1:6" ht="20.25" x14ac:dyDescent="0.2">
      <c r="A14" s="8"/>
      <c r="B14" s="58"/>
      <c r="C14" s="60" t="s">
        <v>46</v>
      </c>
      <c r="D14" s="60"/>
      <c r="E14" s="32">
        <f>E12-E13</f>
        <v>71716194</v>
      </c>
      <c r="F14" s="20"/>
    </row>
    <row r="15" spans="1:6" ht="20.25" x14ac:dyDescent="0.2">
      <c r="A15" s="8"/>
      <c r="B15" s="58"/>
      <c r="C15" s="58" t="s">
        <v>8</v>
      </c>
      <c r="D15" s="58"/>
      <c r="E15" s="33">
        <f>ROUNDDOWN(E14/1.1,0)</f>
        <v>65196540</v>
      </c>
      <c r="F15" s="21" t="s">
        <v>47</v>
      </c>
    </row>
    <row r="16" spans="1:6" ht="20.25" x14ac:dyDescent="0.2">
      <c r="A16" s="8"/>
      <c r="B16" s="50" t="s">
        <v>9</v>
      </c>
      <c r="C16" s="48" t="s">
        <v>10</v>
      </c>
      <c r="D16" s="48"/>
      <c r="E16" s="34">
        <v>28000000</v>
      </c>
      <c r="F16" s="17" t="s">
        <v>24</v>
      </c>
    </row>
    <row r="17" spans="1:6" ht="20.25" x14ac:dyDescent="0.2">
      <c r="A17" s="8"/>
      <c r="B17" s="51"/>
      <c r="C17" s="48" t="s">
        <v>13</v>
      </c>
      <c r="D17" s="48"/>
      <c r="E17" s="34">
        <v>726026</v>
      </c>
      <c r="F17" s="22" t="s">
        <v>55</v>
      </c>
    </row>
    <row r="18" spans="1:6" ht="20.25" x14ac:dyDescent="0.2">
      <c r="A18" s="8"/>
      <c r="B18" s="51"/>
      <c r="C18" s="53" t="s">
        <v>52</v>
      </c>
      <c r="D18" s="54"/>
      <c r="E18" s="35">
        <v>84737</v>
      </c>
      <c r="F18" s="29" t="s">
        <v>56</v>
      </c>
    </row>
    <row r="19" spans="1:6" ht="20.25" x14ac:dyDescent="0.2">
      <c r="A19" s="8"/>
      <c r="B19" s="51"/>
      <c r="C19" s="53" t="s">
        <v>48</v>
      </c>
      <c r="D19" s="54"/>
      <c r="E19" s="35">
        <v>19000</v>
      </c>
      <c r="F19" s="29" t="s">
        <v>49</v>
      </c>
    </row>
    <row r="20" spans="1:6" ht="20.25" x14ac:dyDescent="0.2">
      <c r="A20" s="8"/>
      <c r="B20" s="51"/>
      <c r="C20" s="55" t="s">
        <v>11</v>
      </c>
      <c r="D20" s="55"/>
      <c r="E20" s="34">
        <v>6867022</v>
      </c>
      <c r="F20" s="17" t="s">
        <v>53</v>
      </c>
    </row>
    <row r="21" spans="1:6" ht="20.25" x14ac:dyDescent="0.2">
      <c r="A21" s="8"/>
      <c r="B21" s="51"/>
      <c r="C21" s="48" t="s">
        <v>4</v>
      </c>
      <c r="D21" s="48"/>
      <c r="E21" s="34">
        <v>4220400</v>
      </c>
      <c r="F21" s="16" t="str">
        <f>TEXT(EDATE(C4,-1),"yyyy년 m월")&amp;"분"</f>
        <v>2026년 3월분</v>
      </c>
    </row>
    <row r="22" spans="1:6" ht="13.5" x14ac:dyDescent="0.2">
      <c r="A22" s="5"/>
      <c r="B22" s="51"/>
      <c r="C22" s="49" t="s">
        <v>12</v>
      </c>
      <c r="D22" s="9" t="s">
        <v>6</v>
      </c>
      <c r="E22" s="36">
        <v>549734</v>
      </c>
      <c r="F22" s="18" t="s">
        <v>30</v>
      </c>
    </row>
    <row r="23" spans="1:6" ht="13.5" customHeight="1" x14ac:dyDescent="0.2">
      <c r="A23" s="5"/>
      <c r="B23" s="51"/>
      <c r="C23" s="49"/>
      <c r="D23" s="9" t="s">
        <v>7</v>
      </c>
      <c r="E23" s="36">
        <v>187216</v>
      </c>
      <c r="F23" s="18" t="s">
        <v>31</v>
      </c>
    </row>
    <row r="24" spans="1:6" ht="13.5" x14ac:dyDescent="0.2">
      <c r="A24" s="5"/>
      <c r="B24" s="51"/>
      <c r="C24" s="49"/>
      <c r="D24" s="9" t="s">
        <v>15</v>
      </c>
      <c r="E24" s="36">
        <v>420000</v>
      </c>
      <c r="F24" s="18" t="s">
        <v>32</v>
      </c>
    </row>
    <row r="25" spans="1:6" ht="13.5" x14ac:dyDescent="0.2">
      <c r="A25" s="5"/>
      <c r="B25" s="51"/>
      <c r="C25" s="49"/>
      <c r="D25" s="9" t="s">
        <v>16</v>
      </c>
      <c r="E25" s="36">
        <v>15000</v>
      </c>
      <c r="F25" s="18" t="s">
        <v>33</v>
      </c>
    </row>
    <row r="26" spans="1:6" ht="13.5" customHeight="1" x14ac:dyDescent="0.2">
      <c r="A26" s="5"/>
      <c r="B26" s="51"/>
      <c r="C26" s="49"/>
      <c r="D26" s="9" t="s">
        <v>17</v>
      </c>
      <c r="E26" s="36">
        <v>42000</v>
      </c>
      <c r="F26" s="18" t="s">
        <v>34</v>
      </c>
    </row>
    <row r="27" spans="1:6" ht="13.5" customHeight="1" x14ac:dyDescent="0.2">
      <c r="A27" s="5"/>
      <c r="B27" s="51"/>
      <c r="C27" s="49"/>
      <c r="D27" s="9" t="s">
        <v>5</v>
      </c>
      <c r="E27" s="36">
        <v>97000</v>
      </c>
      <c r="F27" s="18" t="s">
        <v>35</v>
      </c>
    </row>
    <row r="28" spans="1:6" ht="13.5" customHeight="1" x14ac:dyDescent="0.2">
      <c r="A28" s="5"/>
      <c r="B28" s="51"/>
      <c r="C28" s="49"/>
      <c r="D28" s="9" t="s">
        <v>18</v>
      </c>
      <c r="E28" s="36">
        <v>13182</v>
      </c>
      <c r="F28" s="18" t="s">
        <v>39</v>
      </c>
    </row>
    <row r="29" spans="1:6" ht="13.5" customHeight="1" x14ac:dyDescent="0.2">
      <c r="A29" s="5"/>
      <c r="B29" s="51"/>
      <c r="C29" s="49"/>
      <c r="D29" s="9" t="s">
        <v>19</v>
      </c>
      <c r="E29" s="36">
        <v>104093</v>
      </c>
      <c r="F29" s="18" t="s">
        <v>36</v>
      </c>
    </row>
    <row r="30" spans="1:6" ht="13.5" customHeight="1" x14ac:dyDescent="0.2">
      <c r="A30" s="5"/>
      <c r="B30" s="51"/>
      <c r="C30" s="49"/>
      <c r="D30" s="9" t="s">
        <v>20</v>
      </c>
      <c r="E30" s="36">
        <v>130184</v>
      </c>
      <c r="F30" s="18" t="s">
        <v>37</v>
      </c>
    </row>
    <row r="31" spans="1:6" ht="13.5" x14ac:dyDescent="0.2">
      <c r="A31" s="5"/>
      <c r="B31" s="51"/>
      <c r="C31" s="49"/>
      <c r="D31" s="9" t="s">
        <v>21</v>
      </c>
      <c r="E31" s="36">
        <v>25000</v>
      </c>
      <c r="F31" s="18" t="s">
        <v>38</v>
      </c>
    </row>
    <row r="32" spans="1:6" ht="13.5" customHeight="1" x14ac:dyDescent="0.2">
      <c r="A32" s="5"/>
      <c r="B32" s="51"/>
      <c r="C32" s="49"/>
      <c r="D32" s="9" t="s">
        <v>41</v>
      </c>
      <c r="E32" s="36">
        <v>291768</v>
      </c>
      <c r="F32" s="18" t="s">
        <v>42</v>
      </c>
    </row>
    <row r="33" spans="1:6" ht="13.5" customHeight="1" x14ac:dyDescent="0.2">
      <c r="A33" s="5"/>
      <c r="B33" s="51"/>
      <c r="C33" s="49"/>
      <c r="D33" s="9"/>
      <c r="E33" s="36"/>
      <c r="F33" s="18"/>
    </row>
    <row r="34" spans="1:6" ht="13.5" customHeight="1" x14ac:dyDescent="0.2">
      <c r="A34" s="5"/>
      <c r="B34" s="51"/>
      <c r="C34" s="49"/>
      <c r="D34" s="9"/>
      <c r="E34" s="36"/>
      <c r="F34" s="18"/>
    </row>
    <row r="35" spans="1:6" ht="20.25" x14ac:dyDescent="0.2">
      <c r="A35" s="8"/>
      <c r="B35" s="52"/>
      <c r="C35" s="49"/>
      <c r="D35" s="2" t="s">
        <v>22</v>
      </c>
      <c r="E35" s="37">
        <f>SUM(E22:E34)</f>
        <v>1875177</v>
      </c>
      <c r="F35" s="19"/>
    </row>
    <row r="36" spans="1:6" ht="21" thickBot="1" x14ac:dyDescent="0.25">
      <c r="A36" s="8"/>
      <c r="B36" s="41" t="s">
        <v>14</v>
      </c>
      <c r="C36" s="42"/>
      <c r="D36" s="43"/>
      <c r="E36" s="38">
        <f>SUM(E16:E21,E35)</f>
        <v>41792362</v>
      </c>
      <c r="F36" s="25"/>
    </row>
    <row r="37" spans="1:6" ht="21" thickBot="1" x14ac:dyDescent="0.25">
      <c r="A37" s="8"/>
      <c r="B37" s="44" t="str">
        <f>IF(
    E37&gt;0,
    "용역비","부족액")</f>
        <v>용역비</v>
      </c>
      <c r="C37" s="45"/>
      <c r="D37" s="46"/>
      <c r="E37" s="39">
        <f>E15-E36</f>
        <v>23404178</v>
      </c>
      <c r="F37" s="26" t="s">
        <v>28</v>
      </c>
    </row>
    <row r="38" spans="1:6" ht="14.25" customHeight="1" x14ac:dyDescent="0.2">
      <c r="A38" s="8"/>
    </row>
    <row r="39" spans="1:6" ht="40.5" customHeight="1" x14ac:dyDescent="0.2">
      <c r="B39" s="47" t="s">
        <v>29</v>
      </c>
      <c r="C39" s="47"/>
      <c r="D39" s="47"/>
      <c r="E39" s="47"/>
      <c r="F39" s="47"/>
    </row>
    <row r="42" spans="1:6" x14ac:dyDescent="0.2">
      <c r="F42" s="40"/>
    </row>
  </sheetData>
  <mergeCells count="21">
    <mergeCell ref="B7:F9"/>
    <mergeCell ref="B2:F2"/>
    <mergeCell ref="C4:D4"/>
    <mergeCell ref="C5:D5"/>
    <mergeCell ref="C20:D20"/>
    <mergeCell ref="C11:D11"/>
    <mergeCell ref="B12:B15"/>
    <mergeCell ref="C12:D12"/>
    <mergeCell ref="C13:D13"/>
    <mergeCell ref="C14:D14"/>
    <mergeCell ref="C15:D15"/>
    <mergeCell ref="C18:D18"/>
    <mergeCell ref="C19:D19"/>
    <mergeCell ref="C21:D21"/>
    <mergeCell ref="C22:C35"/>
    <mergeCell ref="B36:D36"/>
    <mergeCell ref="B37:D37"/>
    <mergeCell ref="B39:F39"/>
    <mergeCell ref="B16:B35"/>
    <mergeCell ref="C16:D16"/>
    <mergeCell ref="C17:D17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26FE-22C0-4719-8246-2F5EB8546FB4}">
  <sheetPr>
    <tabColor theme="1"/>
    <pageSetUpPr fitToPage="1"/>
  </sheetPr>
  <dimension ref="A2:F39"/>
  <sheetViews>
    <sheetView showGridLines="0" zoomScaleNormal="100" zoomScaleSheetLayoutView="100" workbookViewId="0">
      <selection activeCell="J16" sqref="J16"/>
    </sheetView>
  </sheetViews>
  <sheetFormatPr defaultRowHeight="17.25" x14ac:dyDescent="0.2"/>
  <cols>
    <col min="1" max="1" width="2.28515625" style="6" bestFit="1" customWidth="1"/>
    <col min="2" max="2" width="11" bestFit="1" customWidth="1"/>
    <col min="3" max="3" width="6.85546875" bestFit="1" customWidth="1"/>
    <col min="4" max="4" width="16.140625" customWidth="1"/>
    <col min="5" max="5" width="14.5703125" customWidth="1"/>
    <col min="6" max="6" width="55.7109375" customWidth="1"/>
  </cols>
  <sheetData>
    <row r="2" spans="1:6" ht="31.5" x14ac:dyDescent="0.2">
      <c r="A2" s="6" t="s">
        <v>3</v>
      </c>
      <c r="B2" s="61" t="s">
        <v>27</v>
      </c>
      <c r="C2" s="61"/>
      <c r="D2" s="61"/>
      <c r="E2" s="61"/>
      <c r="F2" s="61"/>
    </row>
    <row r="3" spans="1:6" ht="14.25" customHeight="1" x14ac:dyDescent="0.2">
      <c r="B3" s="14"/>
      <c r="C3" s="14"/>
      <c r="D3" s="14"/>
      <c r="E3" s="14"/>
      <c r="F3" s="14"/>
    </row>
    <row r="4" spans="1:6" ht="12" customHeight="1" x14ac:dyDescent="0.2">
      <c r="A4" s="10"/>
      <c r="B4" s="23" t="s">
        <v>25</v>
      </c>
      <c r="C4" s="62">
        <v>46082</v>
      </c>
      <c r="D4" s="62"/>
      <c r="E4" s="24"/>
      <c r="F4" s="24"/>
    </row>
    <row r="5" spans="1:6" ht="12" customHeight="1" x14ac:dyDescent="0.2">
      <c r="A5" s="10"/>
      <c r="B5" s="23" t="s">
        <v>26</v>
      </c>
      <c r="C5" s="63">
        <v>46115</v>
      </c>
      <c r="D5" s="63"/>
      <c r="E5" s="24"/>
      <c r="F5" s="24"/>
    </row>
    <row r="6" spans="1:6" x14ac:dyDescent="0.2">
      <c r="B6" s="12"/>
      <c r="C6" s="12"/>
      <c r="D6" s="12"/>
      <c r="E6" s="11"/>
      <c r="F6" s="11"/>
    </row>
    <row r="7" spans="1:6" ht="17.25" customHeight="1" x14ac:dyDescent="0.2">
      <c r="B7" s="56" t="str">
        <f>IF(
    E37&gt;0,
    "당사 간 체결한 위탁운영 계약에 따라 "&amp;TEXT(C4,"YYYY년 MM월")&amp;" 정산기준월의 용역비를 아래와 같이 정산합니다."&amp;CHAR(10)&amp;
    "확정된 용역비 "&amp;TEXT(E37,"#,##0")&amp;"원(VAT 별도)에 대한 세금계산서를 당사로 발행하여 주시기 바랍니다.",
    "당사 간 체결한 위탁운영 계약에 따라 "&amp;TEXT(C4,"YYYY년 MM월")&amp;" 정산기준월의 용역비를 아래와 같이 정산합니다."&amp;CHAR(10)&amp;
    "공제 후 잔액 부족으로 발생한 부족액 "&amp;TEXT(ABS(E37),"#,##0")&amp;"원(VAT 별도)에 대하여 당사에서 세금계산서를 발행할 예정이오니,"&amp;CHAR(10)&amp;
    "정산일에 맞추어 당사 계좌로 입금하여 주시기 바랍니다.")</f>
        <v>당사 간 체결한 위탁운영 계약에 따라 2026년 03월 정산기준월의 용역비를 아래와 같이 정산합니다.
확정된 용역비 25,727,129원(VAT 별도)에 대한 세금계산서를 당사로 발행하여 주시기 바랍니다.</v>
      </c>
      <c r="C7" s="56"/>
      <c r="D7" s="56"/>
      <c r="E7" s="56"/>
      <c r="F7" s="56"/>
    </row>
    <row r="8" spans="1:6" x14ac:dyDescent="0.2">
      <c r="B8" s="56"/>
      <c r="C8" s="56"/>
      <c r="D8" s="56"/>
      <c r="E8" s="56"/>
      <c r="F8" s="56"/>
    </row>
    <row r="9" spans="1:6" x14ac:dyDescent="0.2">
      <c r="B9" s="56"/>
      <c r="C9" s="56"/>
      <c r="D9" s="56"/>
      <c r="E9" s="56"/>
      <c r="F9" s="56"/>
    </row>
    <row r="10" spans="1:6" x14ac:dyDescent="0.2">
      <c r="B10" s="12"/>
      <c r="E10" s="1"/>
      <c r="F10" s="13" t="s">
        <v>43</v>
      </c>
    </row>
    <row r="11" spans="1:6" ht="20.25" x14ac:dyDescent="0.2">
      <c r="A11" s="8"/>
      <c r="B11" s="3" t="s">
        <v>0</v>
      </c>
      <c r="C11" s="57" t="s">
        <v>1</v>
      </c>
      <c r="D11" s="57"/>
      <c r="E11" s="7" t="s">
        <v>23</v>
      </c>
      <c r="F11" s="3" t="s">
        <v>2</v>
      </c>
    </row>
    <row r="12" spans="1:6" ht="43.5" customHeight="1" x14ac:dyDescent="0.2">
      <c r="A12" s="8"/>
      <c r="B12" s="58" t="s">
        <v>8</v>
      </c>
      <c r="C12" s="59" t="s">
        <v>45</v>
      </c>
      <c r="D12" s="59"/>
      <c r="E12" s="31">
        <v>82820020</v>
      </c>
      <c r="F12" s="15" t="s">
        <v>54</v>
      </c>
    </row>
    <row r="13" spans="1:6" ht="31.5" customHeight="1" x14ac:dyDescent="0.2">
      <c r="A13" s="8"/>
      <c r="B13" s="58"/>
      <c r="C13" s="59" t="s">
        <v>40</v>
      </c>
      <c r="D13" s="59"/>
      <c r="E13" s="31">
        <v>381329</v>
      </c>
      <c r="F13" s="15" t="s">
        <v>44</v>
      </c>
    </row>
    <row r="14" spans="1:6" ht="20.25" x14ac:dyDescent="0.2">
      <c r="A14" s="8"/>
      <c r="B14" s="58"/>
      <c r="C14" s="60" t="s">
        <v>46</v>
      </c>
      <c r="D14" s="60"/>
      <c r="E14" s="32">
        <f>E12-E13</f>
        <v>82438691</v>
      </c>
      <c r="F14" s="20"/>
    </row>
    <row r="15" spans="1:6" ht="20.25" x14ac:dyDescent="0.2">
      <c r="A15" s="8"/>
      <c r="B15" s="58"/>
      <c r="C15" s="58" t="s">
        <v>8</v>
      </c>
      <c r="D15" s="58"/>
      <c r="E15" s="33">
        <f>ROUNDDOWN(E14/1.1,0)</f>
        <v>74944264</v>
      </c>
      <c r="F15" s="21" t="s">
        <v>47</v>
      </c>
    </row>
    <row r="16" spans="1:6" ht="20.25" x14ac:dyDescent="0.2">
      <c r="A16" s="8"/>
      <c r="B16" s="50" t="s">
        <v>9</v>
      </c>
      <c r="C16" s="48" t="s">
        <v>10</v>
      </c>
      <c r="D16" s="48"/>
      <c r="E16" s="34">
        <v>28000000</v>
      </c>
      <c r="F16" s="17" t="s">
        <v>24</v>
      </c>
    </row>
    <row r="17" spans="1:6" ht="20.25" x14ac:dyDescent="0.2">
      <c r="A17" s="8"/>
      <c r="B17" s="51"/>
      <c r="C17" s="48" t="s">
        <v>13</v>
      </c>
      <c r="D17" s="48"/>
      <c r="E17" s="34">
        <v>833858</v>
      </c>
      <c r="F17" s="22" t="s">
        <v>55</v>
      </c>
    </row>
    <row r="18" spans="1:6" ht="20.25" x14ac:dyDescent="0.2">
      <c r="A18" s="8"/>
      <c r="B18" s="51"/>
      <c r="C18" s="53" t="s">
        <v>52</v>
      </c>
      <c r="D18" s="54"/>
      <c r="E18" s="35">
        <v>78878</v>
      </c>
      <c r="F18" s="29" t="s">
        <v>56</v>
      </c>
    </row>
    <row r="19" spans="1:6" ht="20.25" x14ac:dyDescent="0.2">
      <c r="A19" s="8"/>
      <c r="B19" s="51"/>
      <c r="C19" s="53" t="s">
        <v>48</v>
      </c>
      <c r="D19" s="54"/>
      <c r="E19" s="35">
        <v>367010</v>
      </c>
      <c r="F19" s="29" t="s">
        <v>49</v>
      </c>
    </row>
    <row r="20" spans="1:6" ht="20.25" x14ac:dyDescent="0.2">
      <c r="A20" s="8"/>
      <c r="B20" s="51"/>
      <c r="C20" s="55" t="s">
        <v>11</v>
      </c>
      <c r="D20" s="55"/>
      <c r="E20" s="34">
        <v>7666082</v>
      </c>
      <c r="F20" s="17" t="s">
        <v>53</v>
      </c>
    </row>
    <row r="21" spans="1:6" ht="20.25" x14ac:dyDescent="0.2">
      <c r="A21" s="8"/>
      <c r="B21" s="51"/>
      <c r="C21" s="48" t="s">
        <v>4</v>
      </c>
      <c r="D21" s="48"/>
      <c r="E21" s="34">
        <v>4657490</v>
      </c>
      <c r="F21" s="16" t="str">
        <f>TEXT(EDATE(C4,-1),"yyyy년 m월")&amp;"분"</f>
        <v>2026년 2월분</v>
      </c>
    </row>
    <row r="22" spans="1:6" ht="13.5" x14ac:dyDescent="0.2">
      <c r="A22" s="5"/>
      <c r="B22" s="51"/>
      <c r="C22" s="49" t="s">
        <v>12</v>
      </c>
      <c r="D22" s="9" t="s">
        <v>6</v>
      </c>
      <c r="E22" s="36">
        <v>549734</v>
      </c>
      <c r="F22" s="18" t="s">
        <v>30</v>
      </c>
    </row>
    <row r="23" spans="1:6" ht="13.5" customHeight="1" x14ac:dyDescent="0.2">
      <c r="A23" s="5"/>
      <c r="B23" s="51"/>
      <c r="C23" s="49"/>
      <c r="D23" s="9" t="s">
        <v>7</v>
      </c>
      <c r="E23" s="36">
        <v>187216</v>
      </c>
      <c r="F23" s="18" t="s">
        <v>31</v>
      </c>
    </row>
    <row r="24" spans="1:6" ht="13.5" x14ac:dyDescent="0.2">
      <c r="A24" s="5"/>
      <c r="B24" s="51"/>
      <c r="C24" s="49"/>
      <c r="D24" s="9" t="s">
        <v>15</v>
      </c>
      <c r="E24" s="36">
        <v>420000</v>
      </c>
      <c r="F24" s="18" t="s">
        <v>32</v>
      </c>
    </row>
    <row r="25" spans="1:6" ht="13.5" x14ac:dyDescent="0.2">
      <c r="A25" s="5"/>
      <c r="B25" s="51"/>
      <c r="C25" s="49"/>
      <c r="D25" s="9" t="s">
        <v>16</v>
      </c>
      <c r="E25" s="36">
        <v>15000</v>
      </c>
      <c r="F25" s="18" t="s">
        <v>33</v>
      </c>
    </row>
    <row r="26" spans="1:6" ht="13.5" customHeight="1" x14ac:dyDescent="0.2">
      <c r="A26" s="5"/>
      <c r="B26" s="51"/>
      <c r="C26" s="49"/>
      <c r="D26" s="9" t="s">
        <v>17</v>
      </c>
      <c r="E26" s="36">
        <v>42000</v>
      </c>
      <c r="F26" s="18" t="s">
        <v>34</v>
      </c>
    </row>
    <row r="27" spans="1:6" ht="13.5" customHeight="1" x14ac:dyDescent="0.2">
      <c r="A27" s="5"/>
      <c r="B27" s="51"/>
      <c r="C27" s="49"/>
      <c r="D27" s="9" t="s">
        <v>5</v>
      </c>
      <c r="E27" s="36">
        <v>97000</v>
      </c>
      <c r="F27" s="18" t="s">
        <v>35</v>
      </c>
    </row>
    <row r="28" spans="1:6" ht="13.5" customHeight="1" x14ac:dyDescent="0.2">
      <c r="A28" s="5"/>
      <c r="B28" s="51"/>
      <c r="C28" s="49"/>
      <c r="D28" s="9" t="s">
        <v>18</v>
      </c>
      <c r="E28" s="36">
        <v>13590</v>
      </c>
      <c r="F28" s="18" t="s">
        <v>39</v>
      </c>
    </row>
    <row r="29" spans="1:6" ht="13.5" customHeight="1" x14ac:dyDescent="0.2">
      <c r="A29" s="5"/>
      <c r="B29" s="51"/>
      <c r="C29" s="49"/>
      <c r="D29" s="9" t="s">
        <v>19</v>
      </c>
      <c r="E29" s="36">
        <v>104093</v>
      </c>
      <c r="F29" s="18" t="s">
        <v>36</v>
      </c>
    </row>
    <row r="30" spans="1:6" ht="13.5" customHeight="1" x14ac:dyDescent="0.2">
      <c r="A30" s="5"/>
      <c r="B30" s="51"/>
      <c r="C30" s="49"/>
      <c r="D30" s="9" t="s">
        <v>20</v>
      </c>
      <c r="E30" s="36">
        <v>130184</v>
      </c>
      <c r="F30" s="18" t="s">
        <v>37</v>
      </c>
    </row>
    <row r="31" spans="1:6" ht="13.5" x14ac:dyDescent="0.2">
      <c r="A31" s="5"/>
      <c r="B31" s="51"/>
      <c r="C31" s="49"/>
      <c r="D31" s="9" t="s">
        <v>21</v>
      </c>
      <c r="E31" s="36">
        <v>25000</v>
      </c>
      <c r="F31" s="18" t="s">
        <v>38</v>
      </c>
    </row>
    <row r="32" spans="1:6" ht="13.5" customHeight="1" x14ac:dyDescent="0.2">
      <c r="A32" s="5"/>
      <c r="B32" s="51"/>
      <c r="C32" s="49"/>
      <c r="D32" s="9" t="s">
        <v>41</v>
      </c>
      <c r="E32" s="36">
        <v>30000</v>
      </c>
      <c r="F32" s="18" t="s">
        <v>42</v>
      </c>
    </row>
    <row r="33" spans="1:6" ht="13.5" customHeight="1" x14ac:dyDescent="0.2">
      <c r="A33" s="5"/>
      <c r="B33" s="51"/>
      <c r="C33" s="49"/>
      <c r="D33" s="9" t="s">
        <v>50</v>
      </c>
      <c r="E33" s="36">
        <v>6000000</v>
      </c>
      <c r="F33" s="18" t="s">
        <v>51</v>
      </c>
    </row>
    <row r="34" spans="1:6" ht="13.5" customHeight="1" x14ac:dyDescent="0.2">
      <c r="A34" s="5"/>
      <c r="B34" s="51"/>
      <c r="C34" s="49"/>
      <c r="D34" s="9"/>
      <c r="E34" s="36"/>
      <c r="F34" s="18"/>
    </row>
    <row r="35" spans="1:6" ht="20.25" x14ac:dyDescent="0.2">
      <c r="A35" s="8"/>
      <c r="B35" s="52"/>
      <c r="C35" s="49"/>
      <c r="D35" s="2" t="s">
        <v>22</v>
      </c>
      <c r="E35" s="37">
        <f>SUM(E22:E34)</f>
        <v>7613817</v>
      </c>
      <c r="F35" s="19"/>
    </row>
    <row r="36" spans="1:6" ht="21" thickBot="1" x14ac:dyDescent="0.25">
      <c r="A36" s="8"/>
      <c r="B36" s="41" t="s">
        <v>14</v>
      </c>
      <c r="C36" s="42"/>
      <c r="D36" s="43"/>
      <c r="E36" s="38">
        <f>SUM(E16:E21,E35)</f>
        <v>49217135</v>
      </c>
      <c r="F36" s="25"/>
    </row>
    <row r="37" spans="1:6" ht="21" thickBot="1" x14ac:dyDescent="0.25">
      <c r="A37" s="8"/>
      <c r="B37" s="44" t="str">
        <f>IF(
    E37&gt;0,
    "용역비","부족액")</f>
        <v>용역비</v>
      </c>
      <c r="C37" s="45"/>
      <c r="D37" s="46"/>
      <c r="E37" s="39">
        <f>E15-E36</f>
        <v>25727129</v>
      </c>
      <c r="F37" s="26" t="s">
        <v>28</v>
      </c>
    </row>
    <row r="38" spans="1:6" ht="14.25" customHeight="1" x14ac:dyDescent="0.2">
      <c r="A38" s="8"/>
    </row>
    <row r="39" spans="1:6" ht="40.5" customHeight="1" x14ac:dyDescent="0.2">
      <c r="B39" s="47" t="s">
        <v>29</v>
      </c>
      <c r="C39" s="47"/>
      <c r="D39" s="47"/>
      <c r="E39" s="47"/>
      <c r="F39" s="47"/>
    </row>
  </sheetData>
  <mergeCells count="21">
    <mergeCell ref="C21:D21"/>
    <mergeCell ref="C22:C35"/>
    <mergeCell ref="B36:D36"/>
    <mergeCell ref="B37:D37"/>
    <mergeCell ref="B39:F39"/>
    <mergeCell ref="B16:B35"/>
    <mergeCell ref="C16:D16"/>
    <mergeCell ref="C17:D17"/>
    <mergeCell ref="C20:D20"/>
    <mergeCell ref="C11:D11"/>
    <mergeCell ref="B12:B15"/>
    <mergeCell ref="C12:D12"/>
    <mergeCell ref="C13:D13"/>
    <mergeCell ref="C14:D14"/>
    <mergeCell ref="C15:D15"/>
    <mergeCell ref="C18:D18"/>
    <mergeCell ref="C19:D19"/>
    <mergeCell ref="B7:F9"/>
    <mergeCell ref="B2:F2"/>
    <mergeCell ref="C4:D4"/>
    <mergeCell ref="C5:D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5b4e39-f6c6-48fb-8e43-945b8dd7a1dc" xsi:nil="true"/>
    <lcf76f155ced4ddcb4097134ff3c332f xmlns="7fa6a12c-250d-4d31-a59c-d8939ad0a78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1F4B774274D3545B911FAEE350CF505" ma:contentTypeVersion="18" ma:contentTypeDescription="새 문서를 만듭니다." ma:contentTypeScope="" ma:versionID="651618b4e2e51d6cd2ed64a4c1d82dd7">
  <xsd:schema xmlns:xsd="http://www.w3.org/2001/XMLSchema" xmlns:xs="http://www.w3.org/2001/XMLSchema" xmlns:p="http://schemas.microsoft.com/office/2006/metadata/properties" xmlns:ns2="7fa6a12c-250d-4d31-a59c-d8939ad0a789" xmlns:ns3="b75b4e39-f6c6-48fb-8e43-945b8dd7a1dc" targetNamespace="http://schemas.microsoft.com/office/2006/metadata/properties" ma:root="true" ma:fieldsID="9f9301049ab2f4c800fc1b4f41a992f0" ns2:_="" ns3:_="">
    <xsd:import namespace="7fa6a12c-250d-4d31-a59c-d8939ad0a789"/>
    <xsd:import namespace="b75b4e39-f6c6-48fb-8e43-945b8dd7a1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6a12c-250d-4d31-a59c-d8939ad0a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15476b6a-989a-45bc-9d00-c9e5431cf2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b4e39-f6c6-48fb-8e43-945b8dd7a1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b2ec170-987e-479a-bb34-e059ece047b8}" ma:internalName="TaxCatchAll" ma:showField="CatchAllData" ma:web="b75b4e39-f6c6-48fb-8e43-945b8dd7a1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725AF5-B4AA-434F-9E6A-E6399C0066DF}">
  <ds:schemaRefs>
    <ds:schemaRef ds:uri="http://schemas.microsoft.com/office/2006/metadata/properties"/>
    <ds:schemaRef ds:uri="http://schemas.microsoft.com/office/infopath/2007/PartnerControls"/>
    <ds:schemaRef ds:uri="b75b4e39-f6c6-48fb-8e43-945b8dd7a1dc"/>
    <ds:schemaRef ds:uri="7fa6a12c-250d-4d31-a59c-d8939ad0a789"/>
  </ds:schemaRefs>
</ds:datastoreItem>
</file>

<file path=customXml/itemProps2.xml><?xml version="1.0" encoding="utf-8"?>
<ds:datastoreItem xmlns:ds="http://schemas.openxmlformats.org/officeDocument/2006/customXml" ds:itemID="{F27376F3-8D98-4718-81F0-7A46CF06E8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a6a12c-250d-4d31-a59c-d8939ad0a789"/>
    <ds:schemaRef ds:uri="b75b4e39-f6c6-48fb-8e43-945b8dd7a1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5B5724-7BB7-470A-9981-80579D1986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6</vt:i4>
      </vt:variant>
    </vt:vector>
  </HeadingPairs>
  <TitlesOfParts>
    <vt:vector size="13" baseType="lpstr">
      <vt:lpstr>사업성분석</vt:lpstr>
      <vt:lpstr>2026-08</vt:lpstr>
      <vt:lpstr>2026-07</vt:lpstr>
      <vt:lpstr>2026-06</vt:lpstr>
      <vt:lpstr>2026-05</vt:lpstr>
      <vt:lpstr>2026-04</vt:lpstr>
      <vt:lpstr>2026-03</vt:lpstr>
      <vt:lpstr>'2026-03'!Print_Area</vt:lpstr>
      <vt:lpstr>'2026-04'!Print_Area</vt:lpstr>
      <vt:lpstr>'2026-05'!Print_Area</vt:lpstr>
      <vt:lpstr>'2026-06'!Print_Area</vt:lpstr>
      <vt:lpstr>'2026-07'!Print_Area</vt:lpstr>
      <vt:lpstr>'2026-08'!Print_Area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 성민</dc:creator>
  <cp:lastModifiedBy>노 성민</cp:lastModifiedBy>
  <cp:lastPrinted>2026-04-02T07:50:13Z</cp:lastPrinted>
  <dcterms:created xsi:type="dcterms:W3CDTF">2025-10-17T07:51:27Z</dcterms:created>
  <dcterms:modified xsi:type="dcterms:W3CDTF">2026-09-08T13:03:34Z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0x01010051F4B774274D3545B911FAEE350CF505</vt:lpwstr>
  </property>
  <property fmtid="{D5CDD505-2E9C-101B-9397-08002B2CF9AE}" pid="3" name="MediaServiceImageTags">
    <vt:lpwstr/>
  </property>
</Properties>
</file>